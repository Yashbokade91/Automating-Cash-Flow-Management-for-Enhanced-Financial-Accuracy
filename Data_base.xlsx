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yashb\Downloads\"/>
    </mc:Choice>
  </mc:AlternateContent>
  <xr:revisionPtr revIDLastSave="0" documentId="13_ncr:1_{52BBADD3-CC18-42F8-B234-3AA96EC10859}" xr6:coauthVersionLast="47" xr6:coauthVersionMax="47" xr10:uidLastSave="{00000000-0000-0000-0000-000000000000}"/>
  <bookViews>
    <workbookView xWindow="-110" yWindow="-110" windowWidth="19420" windowHeight="12220" activeTab="3" xr2:uid="{00000000-000D-0000-FFFF-FFFF00000000}"/>
  </bookViews>
  <sheets>
    <sheet name="Data_base_Before" sheetId="1" r:id="rId1"/>
    <sheet name="Data_base_After" sheetId="2" r:id="rId2"/>
    <sheet name="Summary" sheetId="3" r:id="rId3"/>
    <sheet name="Chart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1" l="1"/>
  <c r="D3" i="1"/>
  <c r="D4" i="1"/>
  <c r="H4" i="1" s="1"/>
  <c r="D5" i="1"/>
  <c r="H5" i="1" s="1"/>
  <c r="D6" i="1"/>
  <c r="H6" i="1" s="1"/>
  <c r="D7" i="1"/>
  <c r="H7" i="1" s="1"/>
  <c r="D8" i="1"/>
  <c r="H8" i="1" s="1"/>
  <c r="D9" i="1"/>
  <c r="H9" i="1" s="1"/>
  <c r="D10" i="1"/>
  <c r="H10" i="1" s="1"/>
  <c r="D11" i="1"/>
  <c r="H11" i="1" s="1"/>
  <c r="D12" i="1"/>
  <c r="H12" i="1" s="1"/>
  <c r="D13" i="1"/>
  <c r="H13" i="1" s="1"/>
  <c r="H14" i="1"/>
  <c r="D15" i="1"/>
  <c r="H15" i="1" s="1"/>
  <c r="D16" i="1"/>
  <c r="H16" i="1" s="1"/>
  <c r="D17" i="1"/>
  <c r="H17" i="1" s="1"/>
  <c r="D18" i="1"/>
  <c r="D19" i="1"/>
  <c r="D20" i="1"/>
  <c r="H20" i="1" s="1"/>
  <c r="D21" i="1"/>
  <c r="H21" i="1" s="1"/>
  <c r="D22" i="1"/>
  <c r="H22" i="1" s="1"/>
  <c r="D23" i="1"/>
  <c r="H23" i="1" s="1"/>
  <c r="D24" i="1"/>
  <c r="H24" i="1" s="1"/>
  <c r="D25" i="1"/>
  <c r="H25" i="1" s="1"/>
  <c r="D26" i="1"/>
  <c r="H26" i="1" s="1"/>
  <c r="D27" i="1"/>
  <c r="D28" i="1"/>
  <c r="D29" i="1"/>
  <c r="D30" i="1"/>
  <c r="D31" i="1"/>
  <c r="D32" i="1"/>
  <c r="D33" i="1"/>
  <c r="D34" i="1"/>
  <c r="D35" i="1"/>
  <c r="D36" i="1"/>
  <c r="H36" i="1" s="1"/>
  <c r="D37" i="1"/>
  <c r="H37" i="1" s="1"/>
  <c r="D38" i="1"/>
  <c r="H38" i="1" s="1"/>
  <c r="D39" i="1"/>
  <c r="H39" i="1" s="1"/>
  <c r="D40" i="1"/>
  <c r="H40" i="1" s="1"/>
  <c r="D41" i="1"/>
  <c r="H41" i="1" s="1"/>
  <c r="D42" i="1"/>
  <c r="H42" i="1" s="1"/>
  <c r="D43" i="1"/>
  <c r="H43" i="1" s="1"/>
  <c r="D44" i="1"/>
  <c r="H44" i="1" s="1"/>
  <c r="D45" i="1"/>
  <c r="H45" i="1" s="1"/>
  <c r="D46" i="1"/>
  <c r="H46" i="1" s="1"/>
  <c r="D47" i="1"/>
  <c r="H47" i="1" s="1"/>
  <c r="D48" i="1"/>
  <c r="H48" i="1" s="1"/>
  <c r="D49" i="1"/>
  <c r="H49" i="1" s="1"/>
  <c r="D50" i="1"/>
  <c r="D51" i="1"/>
  <c r="D52" i="1"/>
  <c r="H52" i="1" s="1"/>
  <c r="D53" i="1"/>
  <c r="H53" i="1" s="1"/>
  <c r="D54" i="1"/>
  <c r="H54" i="1" s="1"/>
  <c r="D55" i="1"/>
  <c r="H55" i="1" s="1"/>
  <c r="D56" i="1"/>
  <c r="H56" i="1" s="1"/>
  <c r="D57" i="1"/>
  <c r="H57" i="1" s="1"/>
  <c r="D58" i="1"/>
  <c r="H58" i="1" s="1"/>
  <c r="D59" i="1"/>
  <c r="D60" i="1"/>
  <c r="D61" i="1"/>
  <c r="D62" i="1"/>
  <c r="D63" i="1"/>
  <c r="D64" i="1"/>
  <c r="H64" i="1" s="1"/>
  <c r="D65" i="1"/>
  <c r="H65" i="1" s="1"/>
  <c r="D66" i="1"/>
  <c r="D67" i="1"/>
  <c r="D68" i="1"/>
  <c r="H68" i="1" s="1"/>
  <c r="D69" i="1"/>
  <c r="H69" i="1" s="1"/>
  <c r="D70" i="1"/>
  <c r="H70" i="1" s="1"/>
  <c r="D71" i="1"/>
  <c r="H71" i="1" s="1"/>
  <c r="D72" i="1"/>
  <c r="H72" i="1" s="1"/>
  <c r="D73" i="1"/>
  <c r="H73" i="1" s="1"/>
  <c r="D74" i="1"/>
  <c r="H74" i="1" s="1"/>
  <c r="D75" i="1"/>
  <c r="H75" i="1" s="1"/>
  <c r="D76" i="1"/>
  <c r="H76" i="1" s="1"/>
  <c r="D77" i="1"/>
  <c r="H77" i="1" s="1"/>
  <c r="D78" i="1"/>
  <c r="H78" i="1" s="1"/>
  <c r="D79" i="1"/>
  <c r="H79" i="1" s="1"/>
  <c r="D80" i="1"/>
  <c r="H80" i="1" s="1"/>
  <c r="D81" i="1"/>
  <c r="H81" i="1" s="1"/>
  <c r="D82" i="1"/>
  <c r="D83" i="1"/>
  <c r="D84" i="1"/>
  <c r="H84" i="1" s="1"/>
  <c r="D85" i="1"/>
  <c r="H85" i="1" s="1"/>
  <c r="D86" i="1"/>
  <c r="H86" i="1" s="1"/>
  <c r="D87" i="1"/>
  <c r="H87" i="1" s="1"/>
  <c r="D88" i="1"/>
  <c r="H88" i="1" s="1"/>
  <c r="D89" i="1"/>
  <c r="H89" i="1" s="1"/>
  <c r="D90" i="1"/>
  <c r="H90" i="1" s="1"/>
  <c r="D91" i="1"/>
  <c r="D92" i="1"/>
  <c r="D93" i="1"/>
  <c r="D94" i="1"/>
  <c r="H94" i="1" s="1"/>
  <c r="D95" i="1"/>
  <c r="H95" i="1" s="1"/>
  <c r="D96" i="1"/>
  <c r="H96" i="1" s="1"/>
  <c r="D97" i="1"/>
  <c r="H97" i="1" s="1"/>
  <c r="D98" i="1"/>
  <c r="D99" i="1"/>
  <c r="D100" i="1"/>
  <c r="H100" i="1" s="1"/>
  <c r="D101" i="1"/>
  <c r="H101" i="1" s="1"/>
  <c r="D102" i="1"/>
  <c r="H102" i="1" s="1"/>
  <c r="D103" i="1"/>
  <c r="H103" i="1" s="1"/>
  <c r="D104" i="1"/>
  <c r="H104" i="1" s="1"/>
  <c r="D105" i="1"/>
  <c r="H105" i="1" s="1"/>
  <c r="D106" i="1"/>
  <c r="H106" i="1" s="1"/>
  <c r="D107" i="1"/>
  <c r="H107" i="1" s="1"/>
  <c r="D108" i="1"/>
  <c r="H108" i="1" s="1"/>
  <c r="D109" i="1"/>
  <c r="H109" i="1" s="1"/>
  <c r="D110" i="1"/>
  <c r="H110" i="1" s="1"/>
  <c r="D111" i="1"/>
  <c r="H111" i="1" s="1"/>
  <c r="D112" i="1"/>
  <c r="H112" i="1" s="1"/>
  <c r="D113" i="1"/>
  <c r="H113" i="1" s="1"/>
  <c r="D114" i="1"/>
  <c r="D115" i="1"/>
  <c r="D116" i="1"/>
  <c r="H116" i="1" s="1"/>
  <c r="D117" i="1"/>
  <c r="H117" i="1" s="1"/>
  <c r="D118" i="1"/>
  <c r="H118" i="1" s="1"/>
  <c r="D119" i="1"/>
  <c r="H119" i="1" s="1"/>
  <c r="D120" i="1"/>
  <c r="H120" i="1" s="1"/>
  <c r="D121" i="1"/>
  <c r="H121" i="1" s="1"/>
  <c r="D122" i="1"/>
  <c r="D123" i="1"/>
  <c r="H123" i="1" s="1"/>
  <c r="D124" i="1"/>
  <c r="H124" i="1" s="1"/>
  <c r="D125" i="1"/>
  <c r="H125" i="1" s="1"/>
  <c r="D126" i="1"/>
  <c r="H126" i="1" s="1"/>
  <c r="D127" i="1"/>
  <c r="H127" i="1" s="1"/>
  <c r="D128" i="1"/>
  <c r="H128" i="1" s="1"/>
  <c r="D129" i="1"/>
  <c r="H129" i="1" s="1"/>
  <c r="D130" i="1"/>
  <c r="D131" i="1"/>
  <c r="D132" i="1"/>
  <c r="H132" i="1" s="1"/>
  <c r="D133" i="1"/>
  <c r="H133" i="1" s="1"/>
  <c r="D134" i="1"/>
  <c r="H134" i="1" s="1"/>
  <c r="D135" i="1"/>
  <c r="H135" i="1" s="1"/>
  <c r="D136" i="1"/>
  <c r="H136" i="1" s="1"/>
  <c r="D137" i="1"/>
  <c r="H137" i="1" s="1"/>
  <c r="D138" i="1"/>
  <c r="D139" i="1"/>
  <c r="D140" i="1"/>
  <c r="D141" i="1"/>
  <c r="D142" i="1"/>
  <c r="D143" i="1"/>
  <c r="D144" i="1"/>
  <c r="D145" i="1"/>
  <c r="H145" i="1" s="1"/>
  <c r="D146" i="1"/>
  <c r="D147" i="1"/>
  <c r="D148" i="1"/>
  <c r="H148" i="1" s="1"/>
  <c r="D149" i="1"/>
  <c r="H149" i="1" s="1"/>
  <c r="D150" i="1"/>
  <c r="H150" i="1" s="1"/>
  <c r="D151" i="1"/>
  <c r="H151" i="1" s="1"/>
  <c r="D152" i="1"/>
  <c r="H152" i="1" s="1"/>
  <c r="D153" i="1"/>
  <c r="H153" i="1" s="1"/>
  <c r="D154" i="1"/>
  <c r="H154" i="1" s="1"/>
  <c r="D155" i="1"/>
  <c r="H155" i="1" s="1"/>
  <c r="D156" i="1"/>
  <c r="H156" i="1" s="1"/>
  <c r="D157" i="1"/>
  <c r="H157" i="1" s="1"/>
  <c r="D158" i="1"/>
  <c r="H158" i="1" s="1"/>
  <c r="D159" i="1"/>
  <c r="H159" i="1" s="1"/>
  <c r="D160" i="1"/>
  <c r="H160" i="1" s="1"/>
  <c r="D161" i="1"/>
  <c r="H161" i="1" s="1"/>
  <c r="D162" i="1"/>
  <c r="D163" i="1"/>
  <c r="D164" i="1"/>
  <c r="H164" i="1" s="1"/>
  <c r="D165" i="1"/>
  <c r="H165" i="1" s="1"/>
  <c r="D166" i="1"/>
  <c r="H166" i="1" s="1"/>
  <c r="D167" i="1"/>
  <c r="H167" i="1" s="1"/>
  <c r="D168" i="1"/>
  <c r="H168" i="1" s="1"/>
  <c r="D169" i="1"/>
  <c r="H169" i="1" s="1"/>
  <c r="D170" i="1"/>
  <c r="D171" i="1"/>
  <c r="D172" i="1"/>
  <c r="D173" i="1"/>
  <c r="H173" i="1" s="1"/>
  <c r="D174" i="1"/>
  <c r="H174" i="1" s="1"/>
  <c r="D175" i="1"/>
  <c r="H175" i="1" s="1"/>
  <c r="D176" i="1"/>
  <c r="H176" i="1" s="1"/>
  <c r="D177" i="1"/>
  <c r="H177" i="1" s="1"/>
  <c r="D178" i="1"/>
  <c r="D179" i="1"/>
  <c r="D180" i="1"/>
  <c r="H180" i="1" s="1"/>
  <c r="D181" i="1"/>
  <c r="H181" i="1" s="1"/>
  <c r="D182" i="1"/>
  <c r="H182" i="1" s="1"/>
  <c r="D183" i="1"/>
  <c r="H183" i="1" s="1"/>
  <c r="D184" i="1"/>
  <c r="H184" i="1" s="1"/>
  <c r="D185" i="1"/>
  <c r="H185" i="1" s="1"/>
  <c r="D186" i="1"/>
  <c r="H186" i="1" s="1"/>
  <c r="D187" i="1"/>
  <c r="H187" i="1" s="1"/>
  <c r="D188" i="1"/>
  <c r="H188" i="1" s="1"/>
  <c r="D189" i="1"/>
  <c r="H189" i="1" s="1"/>
  <c r="D190" i="1"/>
  <c r="H190" i="1" s="1"/>
  <c r="D191" i="1"/>
  <c r="H191" i="1" s="1"/>
  <c r="D192" i="1"/>
  <c r="H192" i="1" s="1"/>
  <c r="D193" i="1"/>
  <c r="H193" i="1" s="1"/>
  <c r="D194" i="1"/>
  <c r="D195" i="1"/>
  <c r="D196" i="1"/>
  <c r="H196" i="1" s="1"/>
  <c r="D197" i="1"/>
  <c r="H197" i="1" s="1"/>
  <c r="D198" i="1"/>
  <c r="H198" i="1" s="1"/>
  <c r="D199" i="1"/>
  <c r="H199" i="1" s="1"/>
  <c r="D200" i="1"/>
  <c r="H200" i="1" s="1"/>
  <c r="D201" i="1"/>
  <c r="H201" i="1" s="1"/>
  <c r="D2" i="1"/>
  <c r="D4" i="3"/>
  <c r="D3" i="3"/>
  <c r="D2" i="3"/>
  <c r="C3" i="3"/>
  <c r="B3" i="3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" i="2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" i="1"/>
  <c r="C5" i="3"/>
  <c r="H3" i="1"/>
  <c r="H18" i="1"/>
  <c r="H19" i="1"/>
  <c r="H27" i="1"/>
  <c r="H28" i="1"/>
  <c r="H29" i="1"/>
  <c r="H30" i="1"/>
  <c r="H31" i="1"/>
  <c r="H32" i="1"/>
  <c r="H33" i="1"/>
  <c r="H34" i="1"/>
  <c r="H35" i="1"/>
  <c r="H50" i="1"/>
  <c r="H51" i="1"/>
  <c r="H59" i="1"/>
  <c r="H60" i="1"/>
  <c r="H61" i="1"/>
  <c r="H62" i="1"/>
  <c r="H63" i="1"/>
  <c r="H66" i="1"/>
  <c r="H67" i="1"/>
  <c r="H82" i="1"/>
  <c r="H83" i="1"/>
  <c r="H91" i="1"/>
  <c r="H92" i="1"/>
  <c r="H93" i="1"/>
  <c r="H98" i="1"/>
  <c r="H99" i="1"/>
  <c r="H114" i="1"/>
  <c r="H115" i="1"/>
  <c r="H122" i="1"/>
  <c r="H130" i="1"/>
  <c r="H131" i="1"/>
  <c r="H138" i="1"/>
  <c r="H139" i="1"/>
  <c r="H140" i="1"/>
  <c r="H141" i="1"/>
  <c r="H142" i="1"/>
  <c r="H143" i="1"/>
  <c r="H144" i="1"/>
  <c r="H146" i="1"/>
  <c r="H147" i="1"/>
  <c r="H162" i="1"/>
  <c r="H163" i="1"/>
  <c r="H170" i="1"/>
  <c r="H171" i="1"/>
  <c r="H172" i="1"/>
  <c r="H178" i="1"/>
  <c r="H179" i="1"/>
  <c r="H194" i="1"/>
  <c r="H195" i="1"/>
  <c r="H2" i="1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" i="2"/>
  <c r="K5" i="2"/>
  <c r="K3" i="2"/>
  <c r="K4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" i="2"/>
  <c r="C2" i="3"/>
  <c r="B2" i="3"/>
  <c r="B5" i="3" l="1"/>
</calcChain>
</file>

<file path=xl/sharedStrings.xml><?xml version="1.0" encoding="utf-8"?>
<sst xmlns="http://schemas.openxmlformats.org/spreadsheetml/2006/main" count="432" uniqueCount="29">
  <si>
    <t>Date</t>
  </si>
  <si>
    <t>Inflows ($)</t>
  </si>
  <si>
    <t>Outflows ($)</t>
  </si>
  <si>
    <t>Net Cash ($)</t>
  </si>
  <si>
    <t>Manual Forecast ($)</t>
  </si>
  <si>
    <t>Posting Time (min)</t>
  </si>
  <si>
    <t>Error Count</t>
  </si>
  <si>
    <t>Change Type</t>
  </si>
  <si>
    <t>Flag</t>
  </si>
  <si>
    <t>Change Timestamp</t>
  </si>
  <si>
    <t>Reduced Time</t>
  </si>
  <si>
    <t>✅</t>
  </si>
  <si>
    <t>Automated Posting</t>
  </si>
  <si>
    <t>⚠️</t>
  </si>
  <si>
    <t>Error Eliminated</t>
  </si>
  <si>
    <t>Metric</t>
  </si>
  <si>
    <t>Before Automation</t>
  </si>
  <si>
    <t>After Automation</t>
  </si>
  <si>
    <t>Improvement (%)</t>
  </si>
  <si>
    <t>Avg Posting Time (min)</t>
  </si>
  <si>
    <t>Process Improvement</t>
  </si>
  <si>
    <t>Manual Forecast Accuracy</t>
  </si>
  <si>
    <t>Ai Forecast Accuracy</t>
  </si>
  <si>
    <t>Error Rate</t>
  </si>
  <si>
    <t>Avg Error Rate</t>
  </si>
  <si>
    <t>Avg Forecast accuracy</t>
  </si>
  <si>
    <t>AI Forecast Accuracy (model-derived)</t>
  </si>
  <si>
    <t>Manual Forecast Accuracy (recomputed)</t>
  </si>
  <si>
    <t>AI Forecast(Model)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</si>
</sst>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0" fontId="0" fillId="0" borderId="0" xfId="0" applyNumberFormat="1"/>
    <xf numFmtId="9" fontId="1" fillId="0" borderId="2" xfId="1" applyFont="1" applyFill="1" applyBorder="1" applyAlignment="1">
      <alignment horizontal="center" vertical="top"/>
    </xf>
    <xf numFmtId="9" fontId="0" fillId="0" borderId="0" xfId="1" applyFont="1"/>
    <xf numFmtId="0" fontId="1" fillId="0" borderId="2" xfId="1" applyNumberFormat="1" applyFont="1" applyFill="1" applyBorder="1" applyAlignment="1">
      <alignment horizontal="center" vertical="top"/>
    </xf>
    <xf numFmtId="0" fontId="0" fillId="0" borderId="0" xfId="1" applyNumberFormat="1" applyFont="1"/>
    <xf numFmtId="10" fontId="0" fillId="0" borderId="0" xfId="1" applyNumberFormat="1" applyFont="1"/>
    <xf numFmtId="10" fontId="1" fillId="0" borderId="2" xfId="1" applyNumberFormat="1" applyFont="1" applyFill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969696"/>
      <color rgb="FFC0C0C0"/>
      <color rgb="FFDDDDDD"/>
      <color rgb="FFEAEA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Forecast</a:t>
            </a:r>
            <a:r>
              <a:rPr lang="en-US" baseline="0"/>
              <a:t> Accuracy: Manual vs Automated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DDDDDD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6969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8B6-4AF3-83A5-0F8046B017C2}"/>
              </c:ext>
            </c:extLst>
          </c:dPt>
          <c:dPt>
            <c:idx val="1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8B6-4AF3-83A5-0F8046B017C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Summary!$B$5:$C$5</c:f>
              <c:numCache>
                <c:formatCode>0%</c:formatCode>
                <c:ptCount val="2"/>
                <c:pt idx="0" formatCode="0.00%">
                  <c:v>0.63813587585472997</c:v>
                </c:pt>
                <c:pt idx="1">
                  <c:v>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8B6-4AF3-83A5-0F8046B017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2310048"/>
        <c:axId val="1747810480"/>
      </c:barChart>
      <c:catAx>
        <c:axId val="17423100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7810480"/>
        <c:crosses val="autoZero"/>
        <c:auto val="1"/>
        <c:lblAlgn val="ctr"/>
        <c:lblOffset val="100"/>
        <c:noMultiLvlLbl val="0"/>
      </c:catAx>
      <c:valAx>
        <c:axId val="1747810480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2310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Actual vs Forecasted Cash Flow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Data_base_Before!$C$1</c:f>
              <c:strCache>
                <c:ptCount val="1"/>
                <c:pt idx="0">
                  <c:v>Outflows ($)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>
                    <a:alpha val="91000"/>
                  </a:schemeClr>
                </a:solidFill>
              </a:ln>
              <a:effectLst/>
            </c:spPr>
          </c:marker>
          <c:cat>
            <c:numRef>
              <c:f>Data_base_Before!$A$2:$A$201</c:f>
              <c:numCache>
                <c:formatCode>yyyy\-mm\-dd\ hh:mm:ss</c:formatCode>
                <c:ptCount val="200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</c:numCache>
            </c:numRef>
          </c:cat>
          <c:val>
            <c:numRef>
              <c:f>Data_base_Before!$C$2:$C$201</c:f>
              <c:numCache>
                <c:formatCode>General</c:formatCode>
                <c:ptCount val="200"/>
                <c:pt idx="0">
                  <c:v>6410</c:v>
                </c:pt>
                <c:pt idx="1">
                  <c:v>7444</c:v>
                </c:pt>
                <c:pt idx="2">
                  <c:v>4340</c:v>
                </c:pt>
                <c:pt idx="3">
                  <c:v>5699</c:v>
                </c:pt>
                <c:pt idx="4">
                  <c:v>3707</c:v>
                </c:pt>
                <c:pt idx="5">
                  <c:v>3838</c:v>
                </c:pt>
                <c:pt idx="6">
                  <c:v>7788</c:v>
                </c:pt>
                <c:pt idx="7">
                  <c:v>6162</c:v>
                </c:pt>
                <c:pt idx="8">
                  <c:v>5908</c:v>
                </c:pt>
                <c:pt idx="9">
                  <c:v>5921</c:v>
                </c:pt>
                <c:pt idx="10">
                  <c:v>3288</c:v>
                </c:pt>
                <c:pt idx="11">
                  <c:v>4544</c:v>
                </c:pt>
                <c:pt idx="12">
                  <c:v>4290</c:v>
                </c:pt>
                <c:pt idx="13">
                  <c:v>4923</c:v>
                </c:pt>
                <c:pt idx="14">
                  <c:v>6111</c:v>
                </c:pt>
                <c:pt idx="15">
                  <c:v>6761</c:v>
                </c:pt>
                <c:pt idx="16">
                  <c:v>5809</c:v>
                </c:pt>
                <c:pt idx="17">
                  <c:v>5697</c:v>
                </c:pt>
                <c:pt idx="18">
                  <c:v>6969</c:v>
                </c:pt>
                <c:pt idx="19">
                  <c:v>3521</c:v>
                </c:pt>
                <c:pt idx="20">
                  <c:v>4366</c:v>
                </c:pt>
                <c:pt idx="21">
                  <c:v>7303</c:v>
                </c:pt>
                <c:pt idx="22">
                  <c:v>4588</c:v>
                </c:pt>
                <c:pt idx="23">
                  <c:v>6335</c:v>
                </c:pt>
                <c:pt idx="24">
                  <c:v>4418</c:v>
                </c:pt>
                <c:pt idx="25">
                  <c:v>6009</c:v>
                </c:pt>
                <c:pt idx="26">
                  <c:v>6341</c:v>
                </c:pt>
                <c:pt idx="27">
                  <c:v>6288</c:v>
                </c:pt>
                <c:pt idx="28">
                  <c:v>4920</c:v>
                </c:pt>
                <c:pt idx="29">
                  <c:v>4404</c:v>
                </c:pt>
                <c:pt idx="30">
                  <c:v>5181</c:v>
                </c:pt>
                <c:pt idx="31">
                  <c:v>4105</c:v>
                </c:pt>
                <c:pt idx="32">
                  <c:v>3596</c:v>
                </c:pt>
                <c:pt idx="33">
                  <c:v>6064</c:v>
                </c:pt>
                <c:pt idx="34">
                  <c:v>2540</c:v>
                </c:pt>
                <c:pt idx="35">
                  <c:v>5446</c:v>
                </c:pt>
                <c:pt idx="36">
                  <c:v>3584</c:v>
                </c:pt>
                <c:pt idx="37">
                  <c:v>5875</c:v>
                </c:pt>
                <c:pt idx="38">
                  <c:v>6761</c:v>
                </c:pt>
                <c:pt idx="39">
                  <c:v>3478</c:v>
                </c:pt>
                <c:pt idx="40">
                  <c:v>4328</c:v>
                </c:pt>
                <c:pt idx="41">
                  <c:v>6869</c:v>
                </c:pt>
                <c:pt idx="42">
                  <c:v>7005</c:v>
                </c:pt>
                <c:pt idx="43">
                  <c:v>5139</c:v>
                </c:pt>
                <c:pt idx="44">
                  <c:v>6647</c:v>
                </c:pt>
                <c:pt idx="45">
                  <c:v>5941</c:v>
                </c:pt>
                <c:pt idx="46">
                  <c:v>3494</c:v>
                </c:pt>
                <c:pt idx="47">
                  <c:v>5674</c:v>
                </c:pt>
                <c:pt idx="48">
                  <c:v>4062</c:v>
                </c:pt>
                <c:pt idx="49">
                  <c:v>6533</c:v>
                </c:pt>
                <c:pt idx="50">
                  <c:v>5466</c:v>
                </c:pt>
                <c:pt idx="51">
                  <c:v>6223</c:v>
                </c:pt>
                <c:pt idx="52">
                  <c:v>3680</c:v>
                </c:pt>
                <c:pt idx="53">
                  <c:v>5690</c:v>
                </c:pt>
                <c:pt idx="54">
                  <c:v>6659</c:v>
                </c:pt>
                <c:pt idx="55">
                  <c:v>4333</c:v>
                </c:pt>
                <c:pt idx="56">
                  <c:v>6731</c:v>
                </c:pt>
                <c:pt idx="57">
                  <c:v>5711</c:v>
                </c:pt>
                <c:pt idx="58">
                  <c:v>6002</c:v>
                </c:pt>
                <c:pt idx="59">
                  <c:v>6808</c:v>
                </c:pt>
                <c:pt idx="60">
                  <c:v>6548</c:v>
                </c:pt>
                <c:pt idx="61">
                  <c:v>3889</c:v>
                </c:pt>
                <c:pt idx="62">
                  <c:v>5885</c:v>
                </c:pt>
                <c:pt idx="63">
                  <c:v>6725</c:v>
                </c:pt>
                <c:pt idx="64">
                  <c:v>4716</c:v>
                </c:pt>
                <c:pt idx="65">
                  <c:v>3947</c:v>
                </c:pt>
                <c:pt idx="66">
                  <c:v>5538</c:v>
                </c:pt>
                <c:pt idx="67">
                  <c:v>3405</c:v>
                </c:pt>
                <c:pt idx="68">
                  <c:v>5232</c:v>
                </c:pt>
                <c:pt idx="69">
                  <c:v>5066</c:v>
                </c:pt>
                <c:pt idx="70">
                  <c:v>3485</c:v>
                </c:pt>
                <c:pt idx="71">
                  <c:v>4826</c:v>
                </c:pt>
                <c:pt idx="72">
                  <c:v>6188</c:v>
                </c:pt>
                <c:pt idx="73">
                  <c:v>6064</c:v>
                </c:pt>
                <c:pt idx="74">
                  <c:v>5592</c:v>
                </c:pt>
                <c:pt idx="75">
                  <c:v>7004</c:v>
                </c:pt>
                <c:pt idx="76">
                  <c:v>5300</c:v>
                </c:pt>
                <c:pt idx="77">
                  <c:v>5348</c:v>
                </c:pt>
                <c:pt idx="78">
                  <c:v>4357</c:v>
                </c:pt>
                <c:pt idx="79">
                  <c:v>5673</c:v>
                </c:pt>
                <c:pt idx="80">
                  <c:v>4569</c:v>
                </c:pt>
                <c:pt idx="81">
                  <c:v>6589</c:v>
                </c:pt>
                <c:pt idx="82">
                  <c:v>5920</c:v>
                </c:pt>
                <c:pt idx="83">
                  <c:v>3639</c:v>
                </c:pt>
                <c:pt idx="84">
                  <c:v>2886</c:v>
                </c:pt>
                <c:pt idx="85">
                  <c:v>5802</c:v>
                </c:pt>
                <c:pt idx="86">
                  <c:v>6548</c:v>
                </c:pt>
                <c:pt idx="87">
                  <c:v>5757</c:v>
                </c:pt>
                <c:pt idx="88">
                  <c:v>5973</c:v>
                </c:pt>
                <c:pt idx="89">
                  <c:v>8442</c:v>
                </c:pt>
                <c:pt idx="90">
                  <c:v>7318</c:v>
                </c:pt>
                <c:pt idx="91">
                  <c:v>7354</c:v>
                </c:pt>
                <c:pt idx="92">
                  <c:v>3932</c:v>
                </c:pt>
                <c:pt idx="93">
                  <c:v>7107</c:v>
                </c:pt>
                <c:pt idx="94">
                  <c:v>5354</c:v>
                </c:pt>
                <c:pt idx="95">
                  <c:v>4381</c:v>
                </c:pt>
                <c:pt idx="96">
                  <c:v>7959</c:v>
                </c:pt>
                <c:pt idx="97">
                  <c:v>6967</c:v>
                </c:pt>
                <c:pt idx="98">
                  <c:v>4339</c:v>
                </c:pt>
                <c:pt idx="99">
                  <c:v>4049</c:v>
                </c:pt>
                <c:pt idx="100">
                  <c:v>5873</c:v>
                </c:pt>
                <c:pt idx="101">
                  <c:v>5570</c:v>
                </c:pt>
                <c:pt idx="102">
                  <c:v>5350</c:v>
                </c:pt>
                <c:pt idx="103">
                  <c:v>2966</c:v>
                </c:pt>
                <c:pt idx="104">
                  <c:v>2968</c:v>
                </c:pt>
                <c:pt idx="105">
                  <c:v>5042</c:v>
                </c:pt>
                <c:pt idx="106">
                  <c:v>5249</c:v>
                </c:pt>
                <c:pt idx="107">
                  <c:v>5982</c:v>
                </c:pt>
                <c:pt idx="108">
                  <c:v>6972</c:v>
                </c:pt>
                <c:pt idx="109">
                  <c:v>5113</c:v>
                </c:pt>
                <c:pt idx="110">
                  <c:v>6635</c:v>
                </c:pt>
                <c:pt idx="111">
                  <c:v>4833</c:v>
                </c:pt>
                <c:pt idx="112">
                  <c:v>7633</c:v>
                </c:pt>
                <c:pt idx="113">
                  <c:v>7532</c:v>
                </c:pt>
                <c:pt idx="114">
                  <c:v>5482</c:v>
                </c:pt>
                <c:pt idx="115">
                  <c:v>5237</c:v>
                </c:pt>
                <c:pt idx="116">
                  <c:v>6413</c:v>
                </c:pt>
                <c:pt idx="117">
                  <c:v>5960</c:v>
                </c:pt>
                <c:pt idx="118">
                  <c:v>6663</c:v>
                </c:pt>
                <c:pt idx="119">
                  <c:v>7070</c:v>
                </c:pt>
                <c:pt idx="120">
                  <c:v>7339</c:v>
                </c:pt>
                <c:pt idx="121">
                  <c:v>2907</c:v>
                </c:pt>
                <c:pt idx="122">
                  <c:v>3844</c:v>
                </c:pt>
                <c:pt idx="123">
                  <c:v>4825</c:v>
                </c:pt>
                <c:pt idx="124">
                  <c:v>5148</c:v>
                </c:pt>
                <c:pt idx="125">
                  <c:v>7885</c:v>
                </c:pt>
                <c:pt idx="126">
                  <c:v>5540</c:v>
                </c:pt>
                <c:pt idx="127">
                  <c:v>4116</c:v>
                </c:pt>
                <c:pt idx="128">
                  <c:v>6549</c:v>
                </c:pt>
                <c:pt idx="129">
                  <c:v>3530</c:v>
                </c:pt>
                <c:pt idx="130">
                  <c:v>4529</c:v>
                </c:pt>
                <c:pt idx="131">
                  <c:v>6240</c:v>
                </c:pt>
                <c:pt idx="132">
                  <c:v>3886</c:v>
                </c:pt>
                <c:pt idx="133">
                  <c:v>5903</c:v>
                </c:pt>
                <c:pt idx="134">
                  <c:v>7621</c:v>
                </c:pt>
                <c:pt idx="135">
                  <c:v>3610</c:v>
                </c:pt>
                <c:pt idx="136">
                  <c:v>6473</c:v>
                </c:pt>
                <c:pt idx="137">
                  <c:v>8008</c:v>
                </c:pt>
                <c:pt idx="138">
                  <c:v>5699</c:v>
                </c:pt>
                <c:pt idx="139">
                  <c:v>3881</c:v>
                </c:pt>
                <c:pt idx="140">
                  <c:v>4118</c:v>
                </c:pt>
                <c:pt idx="141">
                  <c:v>6381</c:v>
                </c:pt>
                <c:pt idx="142">
                  <c:v>6024</c:v>
                </c:pt>
                <c:pt idx="143">
                  <c:v>5132</c:v>
                </c:pt>
                <c:pt idx="144">
                  <c:v>5900</c:v>
                </c:pt>
                <c:pt idx="145">
                  <c:v>3819</c:v>
                </c:pt>
                <c:pt idx="146">
                  <c:v>5534</c:v>
                </c:pt>
                <c:pt idx="147">
                  <c:v>6212</c:v>
                </c:pt>
                <c:pt idx="148">
                  <c:v>2932</c:v>
                </c:pt>
                <c:pt idx="149">
                  <c:v>4535</c:v>
                </c:pt>
                <c:pt idx="150">
                  <c:v>4368</c:v>
                </c:pt>
                <c:pt idx="151">
                  <c:v>6499</c:v>
                </c:pt>
                <c:pt idx="152">
                  <c:v>4007</c:v>
                </c:pt>
                <c:pt idx="153">
                  <c:v>5656</c:v>
                </c:pt>
                <c:pt idx="154">
                  <c:v>6259</c:v>
                </c:pt>
                <c:pt idx="155">
                  <c:v>4802</c:v>
                </c:pt>
                <c:pt idx="156">
                  <c:v>7093</c:v>
                </c:pt>
                <c:pt idx="157">
                  <c:v>4619</c:v>
                </c:pt>
                <c:pt idx="158">
                  <c:v>7449</c:v>
                </c:pt>
                <c:pt idx="159">
                  <c:v>5244</c:v>
                </c:pt>
                <c:pt idx="160">
                  <c:v>3379</c:v>
                </c:pt>
                <c:pt idx="161">
                  <c:v>4729</c:v>
                </c:pt>
                <c:pt idx="162">
                  <c:v>5017</c:v>
                </c:pt>
                <c:pt idx="163">
                  <c:v>5690</c:v>
                </c:pt>
                <c:pt idx="164">
                  <c:v>7461</c:v>
                </c:pt>
                <c:pt idx="165">
                  <c:v>7274</c:v>
                </c:pt>
                <c:pt idx="166">
                  <c:v>4379</c:v>
                </c:pt>
                <c:pt idx="167">
                  <c:v>5938</c:v>
                </c:pt>
                <c:pt idx="168">
                  <c:v>6550</c:v>
                </c:pt>
                <c:pt idx="169">
                  <c:v>5371</c:v>
                </c:pt>
                <c:pt idx="170">
                  <c:v>5303</c:v>
                </c:pt>
                <c:pt idx="171">
                  <c:v>5750</c:v>
                </c:pt>
                <c:pt idx="172">
                  <c:v>5904</c:v>
                </c:pt>
                <c:pt idx="173">
                  <c:v>6142</c:v>
                </c:pt>
                <c:pt idx="174">
                  <c:v>5598</c:v>
                </c:pt>
                <c:pt idx="175">
                  <c:v>5618</c:v>
                </c:pt>
                <c:pt idx="176">
                  <c:v>4400</c:v>
                </c:pt>
                <c:pt idx="177">
                  <c:v>7127</c:v>
                </c:pt>
                <c:pt idx="178">
                  <c:v>6146</c:v>
                </c:pt>
                <c:pt idx="179">
                  <c:v>5977</c:v>
                </c:pt>
                <c:pt idx="180">
                  <c:v>5934</c:v>
                </c:pt>
                <c:pt idx="181">
                  <c:v>7218</c:v>
                </c:pt>
                <c:pt idx="182">
                  <c:v>3846</c:v>
                </c:pt>
                <c:pt idx="183">
                  <c:v>6974</c:v>
                </c:pt>
                <c:pt idx="184">
                  <c:v>4795</c:v>
                </c:pt>
                <c:pt idx="185">
                  <c:v>6160</c:v>
                </c:pt>
                <c:pt idx="186">
                  <c:v>4494</c:v>
                </c:pt>
                <c:pt idx="187">
                  <c:v>5219</c:v>
                </c:pt>
                <c:pt idx="188">
                  <c:v>7289</c:v>
                </c:pt>
                <c:pt idx="189">
                  <c:v>3749</c:v>
                </c:pt>
                <c:pt idx="190">
                  <c:v>3010</c:v>
                </c:pt>
                <c:pt idx="191">
                  <c:v>3595</c:v>
                </c:pt>
                <c:pt idx="192">
                  <c:v>5754</c:v>
                </c:pt>
                <c:pt idx="193">
                  <c:v>7539</c:v>
                </c:pt>
                <c:pt idx="194">
                  <c:v>5791</c:v>
                </c:pt>
                <c:pt idx="195">
                  <c:v>3993</c:v>
                </c:pt>
                <c:pt idx="196">
                  <c:v>6819</c:v>
                </c:pt>
                <c:pt idx="197">
                  <c:v>6701</c:v>
                </c:pt>
                <c:pt idx="198">
                  <c:v>5260</c:v>
                </c:pt>
                <c:pt idx="199">
                  <c:v>5415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64-4B9B-AED6-FFFEABFC9BC6}"/>
            </c:ext>
          </c:extLst>
        </c:ser>
        <c:ser>
          <c:idx val="1"/>
          <c:order val="1"/>
          <c:tx>
            <c:strRef>
              <c:f>Data_base_Before!$D$1</c:f>
              <c:strCache>
                <c:ptCount val="1"/>
                <c:pt idx="0">
                  <c:v>Net Cash ($)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Data_base_Before!$A$2:$A$201</c:f>
              <c:numCache>
                <c:formatCode>yyyy\-mm\-dd\ hh:mm:ss</c:formatCode>
                <c:ptCount val="200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</c:numCache>
            </c:numRef>
          </c:cat>
          <c:val>
            <c:numRef>
              <c:f>Data_base_Before!$D$2:$D$201</c:f>
              <c:numCache>
                <c:formatCode>General</c:formatCode>
                <c:ptCount val="200"/>
                <c:pt idx="0">
                  <c:v>764</c:v>
                </c:pt>
                <c:pt idx="1">
                  <c:v>63</c:v>
                </c:pt>
                <c:pt idx="2">
                  <c:v>520</c:v>
                </c:pt>
                <c:pt idx="3">
                  <c:v>-405</c:v>
                </c:pt>
                <c:pt idx="4">
                  <c:v>1423</c:v>
                </c:pt>
                <c:pt idx="5">
                  <c:v>1257</c:v>
                </c:pt>
                <c:pt idx="6">
                  <c:v>1058</c:v>
                </c:pt>
                <c:pt idx="7">
                  <c:v>930</c:v>
                </c:pt>
                <c:pt idx="8">
                  <c:v>-270</c:v>
                </c:pt>
                <c:pt idx="9">
                  <c:v>248</c:v>
                </c:pt>
                <c:pt idx="10">
                  <c:v>1178</c:v>
                </c:pt>
                <c:pt idx="11">
                  <c:v>694</c:v>
                </c:pt>
                <c:pt idx="12">
                  <c:v>260</c:v>
                </c:pt>
                <c:pt idx="13">
                  <c:v>559</c:v>
                </c:pt>
                <c:pt idx="14">
                  <c:v>24</c:v>
                </c:pt>
                <c:pt idx="15">
                  <c:v>683</c:v>
                </c:pt>
                <c:pt idx="16">
                  <c:v>1362</c:v>
                </c:pt>
                <c:pt idx="17">
                  <c:v>1222</c:v>
                </c:pt>
                <c:pt idx="18">
                  <c:v>766</c:v>
                </c:pt>
                <c:pt idx="19">
                  <c:v>609</c:v>
                </c:pt>
                <c:pt idx="20">
                  <c:v>1319</c:v>
                </c:pt>
                <c:pt idx="21">
                  <c:v>77</c:v>
                </c:pt>
                <c:pt idx="22">
                  <c:v>181</c:v>
                </c:pt>
                <c:pt idx="23">
                  <c:v>56</c:v>
                </c:pt>
                <c:pt idx="24">
                  <c:v>1097</c:v>
                </c:pt>
                <c:pt idx="25">
                  <c:v>1476</c:v>
                </c:pt>
                <c:pt idx="26">
                  <c:v>512</c:v>
                </c:pt>
                <c:pt idx="27">
                  <c:v>145</c:v>
                </c:pt>
                <c:pt idx="28">
                  <c:v>295</c:v>
                </c:pt>
                <c:pt idx="29">
                  <c:v>551</c:v>
                </c:pt>
                <c:pt idx="30">
                  <c:v>1143</c:v>
                </c:pt>
                <c:pt idx="31">
                  <c:v>1079</c:v>
                </c:pt>
                <c:pt idx="32">
                  <c:v>863</c:v>
                </c:pt>
                <c:pt idx="33">
                  <c:v>1321</c:v>
                </c:pt>
                <c:pt idx="34">
                  <c:v>1481</c:v>
                </c:pt>
                <c:pt idx="35">
                  <c:v>854</c:v>
                </c:pt>
                <c:pt idx="36">
                  <c:v>1163</c:v>
                </c:pt>
                <c:pt idx="37">
                  <c:v>1029</c:v>
                </c:pt>
                <c:pt idx="38">
                  <c:v>871</c:v>
                </c:pt>
                <c:pt idx="39">
                  <c:v>996</c:v>
                </c:pt>
                <c:pt idx="40">
                  <c:v>754</c:v>
                </c:pt>
                <c:pt idx="41">
                  <c:v>-311</c:v>
                </c:pt>
                <c:pt idx="42">
                  <c:v>748</c:v>
                </c:pt>
                <c:pt idx="43">
                  <c:v>908</c:v>
                </c:pt>
                <c:pt idx="44">
                  <c:v>900</c:v>
                </c:pt>
                <c:pt idx="45">
                  <c:v>806</c:v>
                </c:pt>
                <c:pt idx="46">
                  <c:v>1481</c:v>
                </c:pt>
                <c:pt idx="47">
                  <c:v>132</c:v>
                </c:pt>
                <c:pt idx="48">
                  <c:v>127</c:v>
                </c:pt>
                <c:pt idx="49">
                  <c:v>472</c:v>
                </c:pt>
                <c:pt idx="50">
                  <c:v>1268</c:v>
                </c:pt>
                <c:pt idx="51">
                  <c:v>782</c:v>
                </c:pt>
                <c:pt idx="52">
                  <c:v>882</c:v>
                </c:pt>
                <c:pt idx="53">
                  <c:v>209</c:v>
                </c:pt>
                <c:pt idx="54">
                  <c:v>979</c:v>
                </c:pt>
                <c:pt idx="55">
                  <c:v>934</c:v>
                </c:pt>
                <c:pt idx="56">
                  <c:v>148</c:v>
                </c:pt>
                <c:pt idx="57">
                  <c:v>-183</c:v>
                </c:pt>
                <c:pt idx="58">
                  <c:v>1200</c:v>
                </c:pt>
                <c:pt idx="59">
                  <c:v>748</c:v>
                </c:pt>
                <c:pt idx="60">
                  <c:v>1342</c:v>
                </c:pt>
                <c:pt idx="61">
                  <c:v>757</c:v>
                </c:pt>
                <c:pt idx="62">
                  <c:v>183</c:v>
                </c:pt>
                <c:pt idx="63">
                  <c:v>163</c:v>
                </c:pt>
                <c:pt idx="64">
                  <c:v>1498</c:v>
                </c:pt>
                <c:pt idx="65">
                  <c:v>1350</c:v>
                </c:pt>
                <c:pt idx="66">
                  <c:v>897</c:v>
                </c:pt>
                <c:pt idx="67">
                  <c:v>1195</c:v>
                </c:pt>
                <c:pt idx="68">
                  <c:v>1131</c:v>
                </c:pt>
                <c:pt idx="69">
                  <c:v>995</c:v>
                </c:pt>
                <c:pt idx="70">
                  <c:v>756</c:v>
                </c:pt>
                <c:pt idx="71">
                  <c:v>1215</c:v>
                </c:pt>
                <c:pt idx="72">
                  <c:v>636</c:v>
                </c:pt>
                <c:pt idx="73">
                  <c:v>1353</c:v>
                </c:pt>
                <c:pt idx="74">
                  <c:v>1020</c:v>
                </c:pt>
                <c:pt idx="75">
                  <c:v>-59</c:v>
                </c:pt>
                <c:pt idx="76">
                  <c:v>63</c:v>
                </c:pt>
                <c:pt idx="77">
                  <c:v>791</c:v>
                </c:pt>
                <c:pt idx="78">
                  <c:v>1033</c:v>
                </c:pt>
                <c:pt idx="79">
                  <c:v>1330</c:v>
                </c:pt>
                <c:pt idx="80">
                  <c:v>909</c:v>
                </c:pt>
                <c:pt idx="81">
                  <c:v>910</c:v>
                </c:pt>
                <c:pt idx="82">
                  <c:v>636</c:v>
                </c:pt>
                <c:pt idx="83">
                  <c:v>1136</c:v>
                </c:pt>
                <c:pt idx="84">
                  <c:v>1148</c:v>
                </c:pt>
                <c:pt idx="85">
                  <c:v>451</c:v>
                </c:pt>
                <c:pt idx="86">
                  <c:v>604</c:v>
                </c:pt>
                <c:pt idx="87">
                  <c:v>198</c:v>
                </c:pt>
                <c:pt idx="88">
                  <c:v>-388</c:v>
                </c:pt>
                <c:pt idx="89">
                  <c:v>-499</c:v>
                </c:pt>
                <c:pt idx="90">
                  <c:v>141</c:v>
                </c:pt>
                <c:pt idx="91">
                  <c:v>-281</c:v>
                </c:pt>
                <c:pt idx="92">
                  <c:v>1089</c:v>
                </c:pt>
                <c:pt idx="93">
                  <c:v>354</c:v>
                </c:pt>
                <c:pt idx="94">
                  <c:v>1259</c:v>
                </c:pt>
                <c:pt idx="95">
                  <c:v>748</c:v>
                </c:pt>
                <c:pt idx="96">
                  <c:v>-116</c:v>
                </c:pt>
                <c:pt idx="97">
                  <c:v>926</c:v>
                </c:pt>
                <c:pt idx="98">
                  <c:v>1161</c:v>
                </c:pt>
                <c:pt idx="99">
                  <c:v>653</c:v>
                </c:pt>
                <c:pt idx="100">
                  <c:v>576</c:v>
                </c:pt>
                <c:pt idx="101">
                  <c:v>1207</c:v>
                </c:pt>
                <c:pt idx="102">
                  <c:v>229</c:v>
                </c:pt>
                <c:pt idx="103">
                  <c:v>1195</c:v>
                </c:pt>
                <c:pt idx="104">
                  <c:v>1233</c:v>
                </c:pt>
                <c:pt idx="105">
                  <c:v>939</c:v>
                </c:pt>
                <c:pt idx="106">
                  <c:v>-254</c:v>
                </c:pt>
                <c:pt idx="107">
                  <c:v>335</c:v>
                </c:pt>
                <c:pt idx="108">
                  <c:v>962</c:v>
                </c:pt>
                <c:pt idx="109">
                  <c:v>-298</c:v>
                </c:pt>
                <c:pt idx="110">
                  <c:v>707</c:v>
                </c:pt>
                <c:pt idx="111">
                  <c:v>-378</c:v>
                </c:pt>
                <c:pt idx="112">
                  <c:v>-100</c:v>
                </c:pt>
                <c:pt idx="113">
                  <c:v>266</c:v>
                </c:pt>
                <c:pt idx="114">
                  <c:v>-207</c:v>
                </c:pt>
                <c:pt idx="115">
                  <c:v>-221</c:v>
                </c:pt>
                <c:pt idx="116">
                  <c:v>1360</c:v>
                </c:pt>
                <c:pt idx="117">
                  <c:v>383</c:v>
                </c:pt>
                <c:pt idx="118">
                  <c:v>1133</c:v>
                </c:pt>
                <c:pt idx="119">
                  <c:v>-303</c:v>
                </c:pt>
                <c:pt idx="120">
                  <c:v>481</c:v>
                </c:pt>
                <c:pt idx="121">
                  <c:v>1430</c:v>
                </c:pt>
                <c:pt idx="122">
                  <c:v>1034</c:v>
                </c:pt>
                <c:pt idx="123">
                  <c:v>251</c:v>
                </c:pt>
                <c:pt idx="124">
                  <c:v>-357</c:v>
                </c:pt>
                <c:pt idx="125">
                  <c:v>108</c:v>
                </c:pt>
                <c:pt idx="126">
                  <c:v>724</c:v>
                </c:pt>
                <c:pt idx="127">
                  <c:v>647</c:v>
                </c:pt>
                <c:pt idx="128">
                  <c:v>-314</c:v>
                </c:pt>
                <c:pt idx="129">
                  <c:v>849</c:v>
                </c:pt>
                <c:pt idx="130">
                  <c:v>-37</c:v>
                </c:pt>
                <c:pt idx="131">
                  <c:v>872</c:v>
                </c:pt>
                <c:pt idx="132">
                  <c:v>1294</c:v>
                </c:pt>
                <c:pt idx="133">
                  <c:v>159</c:v>
                </c:pt>
                <c:pt idx="134">
                  <c:v>263</c:v>
                </c:pt>
                <c:pt idx="135">
                  <c:v>454</c:v>
                </c:pt>
                <c:pt idx="136">
                  <c:v>1455</c:v>
                </c:pt>
                <c:pt idx="137">
                  <c:v>-98</c:v>
                </c:pt>
                <c:pt idx="138">
                  <c:v>869</c:v>
                </c:pt>
                <c:pt idx="139">
                  <c:v>1486</c:v>
                </c:pt>
                <c:pt idx="140">
                  <c:v>1034</c:v>
                </c:pt>
                <c:pt idx="141">
                  <c:v>-354</c:v>
                </c:pt>
                <c:pt idx="142">
                  <c:v>671</c:v>
                </c:pt>
                <c:pt idx="143">
                  <c:v>363</c:v>
                </c:pt>
                <c:pt idx="144">
                  <c:v>1234</c:v>
                </c:pt>
                <c:pt idx="145">
                  <c:v>1343</c:v>
                </c:pt>
                <c:pt idx="146">
                  <c:v>-12</c:v>
                </c:pt>
                <c:pt idx="147">
                  <c:v>428</c:v>
                </c:pt>
                <c:pt idx="148">
                  <c:v>1459</c:v>
                </c:pt>
                <c:pt idx="149">
                  <c:v>1163</c:v>
                </c:pt>
                <c:pt idx="150">
                  <c:v>50</c:v>
                </c:pt>
                <c:pt idx="151">
                  <c:v>-163</c:v>
                </c:pt>
                <c:pt idx="152">
                  <c:v>371</c:v>
                </c:pt>
                <c:pt idx="153">
                  <c:v>140</c:v>
                </c:pt>
                <c:pt idx="154">
                  <c:v>1302</c:v>
                </c:pt>
                <c:pt idx="155">
                  <c:v>1476</c:v>
                </c:pt>
                <c:pt idx="156">
                  <c:v>-28</c:v>
                </c:pt>
                <c:pt idx="157">
                  <c:v>1469</c:v>
                </c:pt>
                <c:pt idx="158">
                  <c:v>-350</c:v>
                </c:pt>
                <c:pt idx="159">
                  <c:v>938</c:v>
                </c:pt>
                <c:pt idx="160">
                  <c:v>821</c:v>
                </c:pt>
                <c:pt idx="161">
                  <c:v>1134</c:v>
                </c:pt>
                <c:pt idx="162">
                  <c:v>-238</c:v>
                </c:pt>
                <c:pt idx="163">
                  <c:v>1287</c:v>
                </c:pt>
                <c:pt idx="164">
                  <c:v>-357</c:v>
                </c:pt>
                <c:pt idx="165">
                  <c:v>-155</c:v>
                </c:pt>
                <c:pt idx="166">
                  <c:v>123</c:v>
                </c:pt>
                <c:pt idx="167">
                  <c:v>516</c:v>
                </c:pt>
                <c:pt idx="168">
                  <c:v>1095</c:v>
                </c:pt>
                <c:pt idx="169">
                  <c:v>380</c:v>
                </c:pt>
                <c:pt idx="170">
                  <c:v>-499</c:v>
                </c:pt>
                <c:pt idx="171">
                  <c:v>396</c:v>
                </c:pt>
                <c:pt idx="172">
                  <c:v>827</c:v>
                </c:pt>
                <c:pt idx="173">
                  <c:v>-247</c:v>
                </c:pt>
                <c:pt idx="174">
                  <c:v>1175</c:v>
                </c:pt>
                <c:pt idx="175">
                  <c:v>-48</c:v>
                </c:pt>
                <c:pt idx="176">
                  <c:v>560</c:v>
                </c:pt>
                <c:pt idx="177">
                  <c:v>683</c:v>
                </c:pt>
                <c:pt idx="178">
                  <c:v>514</c:v>
                </c:pt>
                <c:pt idx="179">
                  <c:v>-492</c:v>
                </c:pt>
                <c:pt idx="180">
                  <c:v>756</c:v>
                </c:pt>
                <c:pt idx="181">
                  <c:v>622</c:v>
                </c:pt>
                <c:pt idx="182">
                  <c:v>1182</c:v>
                </c:pt>
                <c:pt idx="183">
                  <c:v>315</c:v>
                </c:pt>
                <c:pt idx="184">
                  <c:v>-293</c:v>
                </c:pt>
                <c:pt idx="185">
                  <c:v>654</c:v>
                </c:pt>
                <c:pt idx="186">
                  <c:v>-97</c:v>
                </c:pt>
                <c:pt idx="187">
                  <c:v>-349</c:v>
                </c:pt>
                <c:pt idx="188">
                  <c:v>-447</c:v>
                </c:pt>
                <c:pt idx="189">
                  <c:v>643</c:v>
                </c:pt>
                <c:pt idx="190">
                  <c:v>1196</c:v>
                </c:pt>
                <c:pt idx="191">
                  <c:v>1443</c:v>
                </c:pt>
                <c:pt idx="192">
                  <c:v>127</c:v>
                </c:pt>
                <c:pt idx="193">
                  <c:v>86</c:v>
                </c:pt>
                <c:pt idx="194">
                  <c:v>1148</c:v>
                </c:pt>
                <c:pt idx="195">
                  <c:v>1491</c:v>
                </c:pt>
                <c:pt idx="196">
                  <c:v>943</c:v>
                </c:pt>
                <c:pt idx="197">
                  <c:v>945</c:v>
                </c:pt>
                <c:pt idx="198">
                  <c:v>-397</c:v>
                </c:pt>
                <c:pt idx="199">
                  <c:v>1375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64-4B9B-AED6-FFFEABFC9BC6}"/>
            </c:ext>
          </c:extLst>
        </c:ser>
        <c:ser>
          <c:idx val="2"/>
          <c:order val="2"/>
          <c:tx>
            <c:strRef>
              <c:f>Data_base_After!$K$1</c:f>
              <c:strCache>
                <c:ptCount val="1"/>
                <c:pt idx="0">
                  <c:v>AI Forecast(Model)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Data_base_After!$K$2:$K$201</c:f>
              <c:numCache>
                <c:formatCode>General</c:formatCode>
                <c:ptCount val="200"/>
                <c:pt idx="0">
                  <c:v>779.9</c:v>
                </c:pt>
                <c:pt idx="1">
                  <c:v>70.8</c:v>
                </c:pt>
                <c:pt idx="2">
                  <c:v>493.3</c:v>
                </c:pt>
                <c:pt idx="3">
                  <c:v>-435.6</c:v>
                </c:pt>
                <c:pt idx="4">
                  <c:v>1408.6</c:v>
                </c:pt>
                <c:pt idx="5">
                  <c:v>1301.4000000000001</c:v>
                </c:pt>
                <c:pt idx="6">
                  <c:v>38.9</c:v>
                </c:pt>
                <c:pt idx="7">
                  <c:v>979.5</c:v>
                </c:pt>
                <c:pt idx="8">
                  <c:v>-228.9</c:v>
                </c:pt>
                <c:pt idx="9">
                  <c:v>245.9</c:v>
                </c:pt>
                <c:pt idx="10">
                  <c:v>1210.7</c:v>
                </c:pt>
                <c:pt idx="11">
                  <c:v>682.6</c:v>
                </c:pt>
                <c:pt idx="12">
                  <c:v>42.1</c:v>
                </c:pt>
                <c:pt idx="13">
                  <c:v>549.4</c:v>
                </c:pt>
                <c:pt idx="14">
                  <c:v>12</c:v>
                </c:pt>
                <c:pt idx="15">
                  <c:v>643.1</c:v>
                </c:pt>
                <c:pt idx="16">
                  <c:v>1388.4</c:v>
                </c:pt>
                <c:pt idx="17">
                  <c:v>1281.0999999999999</c:v>
                </c:pt>
                <c:pt idx="18">
                  <c:v>788.8</c:v>
                </c:pt>
                <c:pt idx="19">
                  <c:v>639.9</c:v>
                </c:pt>
                <c:pt idx="20">
                  <c:v>1373.9</c:v>
                </c:pt>
                <c:pt idx="21">
                  <c:v>134.30000000000001</c:v>
                </c:pt>
                <c:pt idx="22">
                  <c:v>161.19999999999999</c:v>
                </c:pt>
                <c:pt idx="23">
                  <c:v>54.2</c:v>
                </c:pt>
                <c:pt idx="24">
                  <c:v>1075.0999999999999</c:v>
                </c:pt>
                <c:pt idx="25">
                  <c:v>1425.6</c:v>
                </c:pt>
                <c:pt idx="26">
                  <c:v>504.5</c:v>
                </c:pt>
                <c:pt idx="27">
                  <c:v>196</c:v>
                </c:pt>
                <c:pt idx="28">
                  <c:v>347.2</c:v>
                </c:pt>
                <c:pt idx="29">
                  <c:v>497.3</c:v>
                </c:pt>
                <c:pt idx="30">
                  <c:v>1154.0999999999999</c:v>
                </c:pt>
                <c:pt idx="31">
                  <c:v>1066.0999999999999</c:v>
                </c:pt>
                <c:pt idx="32">
                  <c:v>814.1</c:v>
                </c:pt>
                <c:pt idx="33">
                  <c:v>1329.7</c:v>
                </c:pt>
                <c:pt idx="34">
                  <c:v>1530.2</c:v>
                </c:pt>
                <c:pt idx="35">
                  <c:v>809</c:v>
                </c:pt>
                <c:pt idx="36">
                  <c:v>1181.9000000000001</c:v>
                </c:pt>
                <c:pt idx="37">
                  <c:v>1053.5999999999999</c:v>
                </c:pt>
                <c:pt idx="38">
                  <c:v>818.8</c:v>
                </c:pt>
                <c:pt idx="39">
                  <c:v>1003.5</c:v>
                </c:pt>
                <c:pt idx="40">
                  <c:v>776.8</c:v>
                </c:pt>
                <c:pt idx="41">
                  <c:v>-285.5</c:v>
                </c:pt>
                <c:pt idx="42">
                  <c:v>716.8</c:v>
                </c:pt>
                <c:pt idx="43">
                  <c:v>932.9</c:v>
                </c:pt>
                <c:pt idx="44">
                  <c:v>949.8</c:v>
                </c:pt>
                <c:pt idx="45">
                  <c:v>840.8</c:v>
                </c:pt>
                <c:pt idx="46">
                  <c:v>1511.9</c:v>
                </c:pt>
                <c:pt idx="47">
                  <c:v>115.8</c:v>
                </c:pt>
                <c:pt idx="48">
                  <c:v>67.900000000000006</c:v>
                </c:pt>
                <c:pt idx="49">
                  <c:v>422.2</c:v>
                </c:pt>
                <c:pt idx="50">
                  <c:v>1265.3</c:v>
                </c:pt>
                <c:pt idx="51">
                  <c:v>736.4</c:v>
                </c:pt>
                <c:pt idx="52">
                  <c:v>826.8</c:v>
                </c:pt>
                <c:pt idx="53">
                  <c:v>200.3</c:v>
                </c:pt>
                <c:pt idx="54">
                  <c:v>984.7</c:v>
                </c:pt>
                <c:pt idx="55">
                  <c:v>921.1</c:v>
                </c:pt>
                <c:pt idx="56">
                  <c:v>101.5</c:v>
                </c:pt>
                <c:pt idx="57">
                  <c:v>-131.4</c:v>
                </c:pt>
                <c:pt idx="58">
                  <c:v>1141.5</c:v>
                </c:pt>
                <c:pt idx="59">
                  <c:v>717.4</c:v>
                </c:pt>
                <c:pt idx="60">
                  <c:v>1395.7</c:v>
                </c:pt>
                <c:pt idx="61">
                  <c:v>766.6</c:v>
                </c:pt>
                <c:pt idx="62">
                  <c:v>133.80000000000001</c:v>
                </c:pt>
                <c:pt idx="63">
                  <c:v>186.7</c:v>
                </c:pt>
                <c:pt idx="64">
                  <c:v>1542.4</c:v>
                </c:pt>
                <c:pt idx="65">
                  <c:v>1380.3</c:v>
                </c:pt>
                <c:pt idx="66">
                  <c:v>891</c:v>
                </c:pt>
                <c:pt idx="67">
                  <c:v>1163.2</c:v>
                </c:pt>
                <c:pt idx="68">
                  <c:v>1100.4000000000001</c:v>
                </c:pt>
                <c:pt idx="69">
                  <c:v>991.1</c:v>
                </c:pt>
                <c:pt idx="70">
                  <c:v>730.5</c:v>
                </c:pt>
                <c:pt idx="71">
                  <c:v>1212</c:v>
                </c:pt>
                <c:pt idx="72">
                  <c:v>651.6</c:v>
                </c:pt>
                <c:pt idx="73">
                  <c:v>1341</c:v>
                </c:pt>
                <c:pt idx="74">
                  <c:v>1036.5</c:v>
                </c:pt>
                <c:pt idx="75">
                  <c:v>-22.4</c:v>
                </c:pt>
                <c:pt idx="76">
                  <c:v>41.1</c:v>
                </c:pt>
                <c:pt idx="77">
                  <c:v>736.1</c:v>
                </c:pt>
                <c:pt idx="78">
                  <c:v>1057</c:v>
                </c:pt>
                <c:pt idx="79">
                  <c:v>1336.6</c:v>
                </c:pt>
                <c:pt idx="80">
                  <c:v>864.9</c:v>
                </c:pt>
                <c:pt idx="81">
                  <c:v>867.1</c:v>
                </c:pt>
                <c:pt idx="82">
                  <c:v>672.6</c:v>
                </c:pt>
                <c:pt idx="83">
                  <c:v>1183.7</c:v>
                </c:pt>
                <c:pt idx="84">
                  <c:v>1139.9000000000001</c:v>
                </c:pt>
                <c:pt idx="85">
                  <c:v>474.7</c:v>
                </c:pt>
                <c:pt idx="86">
                  <c:v>577.9</c:v>
                </c:pt>
                <c:pt idx="87">
                  <c:v>224.1</c:v>
                </c:pt>
                <c:pt idx="88">
                  <c:v>-345.7</c:v>
                </c:pt>
                <c:pt idx="89">
                  <c:v>-514</c:v>
                </c:pt>
                <c:pt idx="90">
                  <c:v>118.8</c:v>
                </c:pt>
                <c:pt idx="91">
                  <c:v>-294.8</c:v>
                </c:pt>
                <c:pt idx="92">
                  <c:v>1144.5</c:v>
                </c:pt>
                <c:pt idx="93">
                  <c:v>375.6</c:v>
                </c:pt>
                <c:pt idx="94">
                  <c:v>1229.9000000000001</c:v>
                </c:pt>
                <c:pt idx="95">
                  <c:v>805.6</c:v>
                </c:pt>
                <c:pt idx="96">
                  <c:v>-86.6</c:v>
                </c:pt>
                <c:pt idx="97">
                  <c:v>939.5</c:v>
                </c:pt>
                <c:pt idx="98">
                  <c:v>1153.5</c:v>
                </c:pt>
                <c:pt idx="99">
                  <c:v>604.4</c:v>
                </c:pt>
                <c:pt idx="100">
                  <c:v>566.70000000000005</c:v>
                </c:pt>
                <c:pt idx="101">
                  <c:v>1220.8</c:v>
                </c:pt>
                <c:pt idx="102">
                  <c:v>176.5</c:v>
                </c:pt>
                <c:pt idx="103">
                  <c:v>1241.2</c:v>
                </c:pt>
                <c:pt idx="104">
                  <c:v>1264.5</c:v>
                </c:pt>
                <c:pt idx="105">
                  <c:v>882.6</c:v>
                </c:pt>
                <c:pt idx="106">
                  <c:v>-219.5</c:v>
                </c:pt>
                <c:pt idx="107">
                  <c:v>392</c:v>
                </c:pt>
                <c:pt idx="108">
                  <c:v>995.6</c:v>
                </c:pt>
                <c:pt idx="109">
                  <c:v>-347.5</c:v>
                </c:pt>
                <c:pt idx="110">
                  <c:v>698.6</c:v>
                </c:pt>
                <c:pt idx="111">
                  <c:v>-432.3</c:v>
                </c:pt>
                <c:pt idx="112">
                  <c:v>-64</c:v>
                </c:pt>
                <c:pt idx="113">
                  <c:v>284.89999999999998</c:v>
                </c:pt>
                <c:pt idx="114">
                  <c:v>-147.30000000000001</c:v>
                </c:pt>
                <c:pt idx="115">
                  <c:v>-238.7</c:v>
                </c:pt>
                <c:pt idx="116">
                  <c:v>1411</c:v>
                </c:pt>
                <c:pt idx="117">
                  <c:v>365.6</c:v>
                </c:pt>
                <c:pt idx="118">
                  <c:v>1100.3</c:v>
                </c:pt>
                <c:pt idx="119">
                  <c:v>-257.10000000000002</c:v>
                </c:pt>
                <c:pt idx="120">
                  <c:v>517.29999999999995</c:v>
                </c:pt>
                <c:pt idx="121">
                  <c:v>1456.1</c:v>
                </c:pt>
                <c:pt idx="122">
                  <c:v>1038.2</c:v>
                </c:pt>
                <c:pt idx="123">
                  <c:v>293.3</c:v>
                </c:pt>
                <c:pt idx="124">
                  <c:v>-402</c:v>
                </c:pt>
                <c:pt idx="125">
                  <c:v>93.6</c:v>
                </c:pt>
                <c:pt idx="126">
                  <c:v>719.5</c:v>
                </c:pt>
                <c:pt idx="127">
                  <c:v>605.6</c:v>
                </c:pt>
                <c:pt idx="128">
                  <c:v>-317.3</c:v>
                </c:pt>
                <c:pt idx="129">
                  <c:v>826.2</c:v>
                </c:pt>
                <c:pt idx="130">
                  <c:v>-52.3</c:v>
                </c:pt>
                <c:pt idx="131">
                  <c:v>905.9</c:v>
                </c:pt>
                <c:pt idx="132">
                  <c:v>1251.0999999999999</c:v>
                </c:pt>
                <c:pt idx="133">
                  <c:v>201.3</c:v>
                </c:pt>
                <c:pt idx="134">
                  <c:v>294.2</c:v>
                </c:pt>
                <c:pt idx="135">
                  <c:v>447.7</c:v>
                </c:pt>
                <c:pt idx="136">
                  <c:v>1445.7</c:v>
                </c:pt>
                <c:pt idx="137">
                  <c:v>-60.5</c:v>
                </c:pt>
                <c:pt idx="138">
                  <c:v>890</c:v>
                </c:pt>
                <c:pt idx="139">
                  <c:v>1441.9</c:v>
                </c:pt>
                <c:pt idx="140">
                  <c:v>1004</c:v>
                </c:pt>
                <c:pt idx="141">
                  <c:v>-335.1</c:v>
                </c:pt>
                <c:pt idx="142">
                  <c:v>626.6</c:v>
                </c:pt>
                <c:pt idx="143">
                  <c:v>320.7</c:v>
                </c:pt>
                <c:pt idx="144">
                  <c:v>1206.0999999999999</c:v>
                </c:pt>
                <c:pt idx="145">
                  <c:v>1284.2</c:v>
                </c:pt>
                <c:pt idx="146">
                  <c:v>-41.4</c:v>
                </c:pt>
                <c:pt idx="147">
                  <c:v>426.5</c:v>
                </c:pt>
                <c:pt idx="148">
                  <c:v>1477.3</c:v>
                </c:pt>
                <c:pt idx="149">
                  <c:v>1212.2</c:v>
                </c:pt>
                <c:pt idx="150">
                  <c:v>101.3</c:v>
                </c:pt>
                <c:pt idx="151">
                  <c:v>-118.30000000000001</c:v>
                </c:pt>
                <c:pt idx="152">
                  <c:v>324.8</c:v>
                </c:pt>
                <c:pt idx="153">
                  <c:v>186.2</c:v>
                </c:pt>
                <c:pt idx="154">
                  <c:v>1335</c:v>
                </c:pt>
                <c:pt idx="155">
                  <c:v>1508.1</c:v>
                </c:pt>
                <c:pt idx="156">
                  <c:v>-45.099999999999994</c:v>
                </c:pt>
                <c:pt idx="157">
                  <c:v>1489.4</c:v>
                </c:pt>
                <c:pt idx="158">
                  <c:v>-299.3</c:v>
                </c:pt>
                <c:pt idx="159">
                  <c:v>914.9</c:v>
                </c:pt>
                <c:pt idx="160">
                  <c:v>792.5</c:v>
                </c:pt>
                <c:pt idx="161">
                  <c:v>1121.0999999999999</c:v>
                </c:pt>
                <c:pt idx="162">
                  <c:v>-254.2</c:v>
                </c:pt>
                <c:pt idx="163">
                  <c:v>1270.2</c:v>
                </c:pt>
                <c:pt idx="164">
                  <c:v>-381.3</c:v>
                </c:pt>
                <c:pt idx="165">
                  <c:v>-119.6</c:v>
                </c:pt>
                <c:pt idx="166">
                  <c:v>145.19999999999999</c:v>
                </c:pt>
                <c:pt idx="167">
                  <c:v>483.3</c:v>
                </c:pt>
                <c:pt idx="168">
                  <c:v>1052.0999999999999</c:v>
                </c:pt>
                <c:pt idx="169">
                  <c:v>423.5</c:v>
                </c:pt>
                <c:pt idx="170">
                  <c:v>-490.6</c:v>
                </c:pt>
                <c:pt idx="171">
                  <c:v>370.8</c:v>
                </c:pt>
                <c:pt idx="172">
                  <c:v>862.1</c:v>
                </c:pt>
                <c:pt idx="173">
                  <c:v>-223.6</c:v>
                </c:pt>
                <c:pt idx="174">
                  <c:v>1152.8</c:v>
                </c:pt>
                <c:pt idx="175">
                  <c:v>9.5999999999999943</c:v>
                </c:pt>
                <c:pt idx="176">
                  <c:v>618.5</c:v>
                </c:pt>
                <c:pt idx="177">
                  <c:v>661.4</c:v>
                </c:pt>
                <c:pt idx="178">
                  <c:v>471.1</c:v>
                </c:pt>
                <c:pt idx="179">
                  <c:v>-515.70000000000005</c:v>
                </c:pt>
                <c:pt idx="180">
                  <c:v>696</c:v>
                </c:pt>
                <c:pt idx="181">
                  <c:v>633.4</c:v>
                </c:pt>
                <c:pt idx="182">
                  <c:v>1208.7</c:v>
                </c:pt>
                <c:pt idx="183">
                  <c:v>283.5</c:v>
                </c:pt>
                <c:pt idx="184">
                  <c:v>-315.5</c:v>
                </c:pt>
                <c:pt idx="185">
                  <c:v>629.1</c:v>
                </c:pt>
                <c:pt idx="186">
                  <c:v>-142.9</c:v>
                </c:pt>
                <c:pt idx="187">
                  <c:v>-382.6</c:v>
                </c:pt>
                <c:pt idx="188">
                  <c:v>-436.2</c:v>
                </c:pt>
                <c:pt idx="189">
                  <c:v>694.6</c:v>
                </c:pt>
                <c:pt idx="190">
                  <c:v>1251.2</c:v>
                </c:pt>
                <c:pt idx="191">
                  <c:v>1464.3</c:v>
                </c:pt>
                <c:pt idx="192">
                  <c:v>123.4</c:v>
                </c:pt>
                <c:pt idx="193">
                  <c:v>83.3</c:v>
                </c:pt>
                <c:pt idx="194">
                  <c:v>1108.4000000000001</c:v>
                </c:pt>
                <c:pt idx="195">
                  <c:v>1514.1</c:v>
                </c:pt>
                <c:pt idx="196">
                  <c:v>987.4</c:v>
                </c:pt>
                <c:pt idx="197">
                  <c:v>958.8</c:v>
                </c:pt>
                <c:pt idx="198">
                  <c:v>-434.5</c:v>
                </c:pt>
                <c:pt idx="199">
                  <c:v>1360.9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264-4B9B-AED6-FFFEABFC9BC6}"/>
            </c:ext>
          </c:extLst>
        </c:ser>
        <c:ser>
          <c:idx val="3"/>
          <c:order val="3"/>
          <c:tx>
            <c:strRef>
              <c:f>Data_base_Before!$B$1</c:f>
              <c:strCache>
                <c:ptCount val="1"/>
                <c:pt idx="0">
                  <c:v>Inflows ($)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Data_base_Before!$B$2:$B$201</c:f>
              <c:numCache>
                <c:formatCode>General</c:formatCode>
                <c:ptCount val="200"/>
                <c:pt idx="0">
                  <c:v>7174</c:v>
                </c:pt>
                <c:pt idx="1">
                  <c:v>7507</c:v>
                </c:pt>
                <c:pt idx="2">
                  <c:v>4860</c:v>
                </c:pt>
                <c:pt idx="3">
                  <c:v>5294</c:v>
                </c:pt>
                <c:pt idx="4">
                  <c:v>5130</c:v>
                </c:pt>
                <c:pt idx="5">
                  <c:v>5095</c:v>
                </c:pt>
                <c:pt idx="6">
                  <c:v>8846</c:v>
                </c:pt>
                <c:pt idx="7">
                  <c:v>7092</c:v>
                </c:pt>
                <c:pt idx="8">
                  <c:v>5638</c:v>
                </c:pt>
                <c:pt idx="9">
                  <c:v>6169</c:v>
                </c:pt>
                <c:pt idx="10">
                  <c:v>4466</c:v>
                </c:pt>
                <c:pt idx="11">
                  <c:v>5238</c:v>
                </c:pt>
                <c:pt idx="12">
                  <c:v>4550</c:v>
                </c:pt>
                <c:pt idx="13">
                  <c:v>5482</c:v>
                </c:pt>
                <c:pt idx="14">
                  <c:v>6135</c:v>
                </c:pt>
                <c:pt idx="15">
                  <c:v>7444</c:v>
                </c:pt>
                <c:pt idx="16">
                  <c:v>7171</c:v>
                </c:pt>
                <c:pt idx="17">
                  <c:v>6919</c:v>
                </c:pt>
                <c:pt idx="18">
                  <c:v>7735</c:v>
                </c:pt>
                <c:pt idx="19">
                  <c:v>4130</c:v>
                </c:pt>
                <c:pt idx="20">
                  <c:v>5685</c:v>
                </c:pt>
                <c:pt idx="21">
                  <c:v>7380</c:v>
                </c:pt>
                <c:pt idx="22">
                  <c:v>4769</c:v>
                </c:pt>
                <c:pt idx="23">
                  <c:v>6391</c:v>
                </c:pt>
                <c:pt idx="24">
                  <c:v>5515</c:v>
                </c:pt>
                <c:pt idx="25">
                  <c:v>7485</c:v>
                </c:pt>
                <c:pt idx="26">
                  <c:v>6853</c:v>
                </c:pt>
                <c:pt idx="27">
                  <c:v>6433</c:v>
                </c:pt>
                <c:pt idx="28">
                  <c:v>5215</c:v>
                </c:pt>
                <c:pt idx="29">
                  <c:v>4955</c:v>
                </c:pt>
                <c:pt idx="30">
                  <c:v>6324</c:v>
                </c:pt>
                <c:pt idx="31">
                  <c:v>5184</c:v>
                </c:pt>
                <c:pt idx="32">
                  <c:v>4459</c:v>
                </c:pt>
                <c:pt idx="33">
                  <c:v>7385</c:v>
                </c:pt>
                <c:pt idx="34">
                  <c:v>4021</c:v>
                </c:pt>
                <c:pt idx="35">
                  <c:v>6300</c:v>
                </c:pt>
                <c:pt idx="36">
                  <c:v>4747</c:v>
                </c:pt>
                <c:pt idx="37">
                  <c:v>6904</c:v>
                </c:pt>
                <c:pt idx="38">
                  <c:v>7632</c:v>
                </c:pt>
                <c:pt idx="39">
                  <c:v>4474</c:v>
                </c:pt>
                <c:pt idx="40">
                  <c:v>5082</c:v>
                </c:pt>
                <c:pt idx="41">
                  <c:v>6558</c:v>
                </c:pt>
                <c:pt idx="42">
                  <c:v>7753</c:v>
                </c:pt>
                <c:pt idx="43">
                  <c:v>6047</c:v>
                </c:pt>
                <c:pt idx="44">
                  <c:v>7547</c:v>
                </c:pt>
                <c:pt idx="45">
                  <c:v>6747</c:v>
                </c:pt>
                <c:pt idx="46">
                  <c:v>4975</c:v>
                </c:pt>
                <c:pt idx="47">
                  <c:v>5806</c:v>
                </c:pt>
                <c:pt idx="48">
                  <c:v>4189</c:v>
                </c:pt>
                <c:pt idx="49">
                  <c:v>7005</c:v>
                </c:pt>
                <c:pt idx="50">
                  <c:v>6734</c:v>
                </c:pt>
                <c:pt idx="51">
                  <c:v>7005</c:v>
                </c:pt>
                <c:pt idx="52">
                  <c:v>4562</c:v>
                </c:pt>
                <c:pt idx="53">
                  <c:v>5899</c:v>
                </c:pt>
                <c:pt idx="54">
                  <c:v>7638</c:v>
                </c:pt>
                <c:pt idx="55">
                  <c:v>5267</c:v>
                </c:pt>
                <c:pt idx="56">
                  <c:v>6879</c:v>
                </c:pt>
                <c:pt idx="57">
                  <c:v>5528</c:v>
                </c:pt>
                <c:pt idx="58">
                  <c:v>7202</c:v>
                </c:pt>
                <c:pt idx="59">
                  <c:v>7556</c:v>
                </c:pt>
                <c:pt idx="60">
                  <c:v>7890</c:v>
                </c:pt>
                <c:pt idx="61">
                  <c:v>4646</c:v>
                </c:pt>
                <c:pt idx="62">
                  <c:v>6068</c:v>
                </c:pt>
                <c:pt idx="63">
                  <c:v>6888</c:v>
                </c:pt>
                <c:pt idx="64">
                  <c:v>6214</c:v>
                </c:pt>
                <c:pt idx="65">
                  <c:v>5297</c:v>
                </c:pt>
                <c:pt idx="66">
                  <c:v>6435</c:v>
                </c:pt>
                <c:pt idx="67">
                  <c:v>4600</c:v>
                </c:pt>
                <c:pt idx="68">
                  <c:v>6363</c:v>
                </c:pt>
                <c:pt idx="69">
                  <c:v>6061</c:v>
                </c:pt>
                <c:pt idx="70">
                  <c:v>4241</c:v>
                </c:pt>
                <c:pt idx="71">
                  <c:v>6041</c:v>
                </c:pt>
                <c:pt idx="72">
                  <c:v>6824</c:v>
                </c:pt>
                <c:pt idx="73">
                  <c:v>7417</c:v>
                </c:pt>
                <c:pt idx="74">
                  <c:v>6612</c:v>
                </c:pt>
                <c:pt idx="75">
                  <c:v>6945</c:v>
                </c:pt>
                <c:pt idx="76">
                  <c:v>5363</c:v>
                </c:pt>
                <c:pt idx="77">
                  <c:v>6139</c:v>
                </c:pt>
                <c:pt idx="78">
                  <c:v>5390</c:v>
                </c:pt>
                <c:pt idx="79">
                  <c:v>7003</c:v>
                </c:pt>
                <c:pt idx="80">
                  <c:v>5478</c:v>
                </c:pt>
                <c:pt idx="81">
                  <c:v>7499</c:v>
                </c:pt>
                <c:pt idx="82">
                  <c:v>6556</c:v>
                </c:pt>
                <c:pt idx="83">
                  <c:v>4775</c:v>
                </c:pt>
                <c:pt idx="84">
                  <c:v>4034</c:v>
                </c:pt>
                <c:pt idx="85">
                  <c:v>6253</c:v>
                </c:pt>
                <c:pt idx="86">
                  <c:v>7152</c:v>
                </c:pt>
                <c:pt idx="87">
                  <c:v>5955</c:v>
                </c:pt>
                <c:pt idx="88">
                  <c:v>5585</c:v>
                </c:pt>
                <c:pt idx="89">
                  <c:v>7943</c:v>
                </c:pt>
                <c:pt idx="90">
                  <c:v>7459</c:v>
                </c:pt>
                <c:pt idx="91">
                  <c:v>7073</c:v>
                </c:pt>
                <c:pt idx="92">
                  <c:v>5021</c:v>
                </c:pt>
                <c:pt idx="93">
                  <c:v>7461</c:v>
                </c:pt>
                <c:pt idx="94">
                  <c:v>6613</c:v>
                </c:pt>
                <c:pt idx="95">
                  <c:v>5129</c:v>
                </c:pt>
                <c:pt idx="96">
                  <c:v>7843</c:v>
                </c:pt>
                <c:pt idx="97">
                  <c:v>7893</c:v>
                </c:pt>
                <c:pt idx="98">
                  <c:v>5500</c:v>
                </c:pt>
                <c:pt idx="99">
                  <c:v>4702</c:v>
                </c:pt>
                <c:pt idx="100">
                  <c:v>6449</c:v>
                </c:pt>
                <c:pt idx="101">
                  <c:v>6777</c:v>
                </c:pt>
                <c:pt idx="102">
                  <c:v>5579</c:v>
                </c:pt>
                <c:pt idx="103">
                  <c:v>4161</c:v>
                </c:pt>
                <c:pt idx="104">
                  <c:v>4201</c:v>
                </c:pt>
                <c:pt idx="105">
                  <c:v>5981</c:v>
                </c:pt>
                <c:pt idx="106">
                  <c:v>4995</c:v>
                </c:pt>
                <c:pt idx="107">
                  <c:v>6317</c:v>
                </c:pt>
                <c:pt idx="108">
                  <c:v>7934</c:v>
                </c:pt>
                <c:pt idx="109">
                  <c:v>4815</c:v>
                </c:pt>
                <c:pt idx="110">
                  <c:v>7342</c:v>
                </c:pt>
                <c:pt idx="111">
                  <c:v>4455</c:v>
                </c:pt>
                <c:pt idx="112">
                  <c:v>7533</c:v>
                </c:pt>
                <c:pt idx="113">
                  <c:v>7798</c:v>
                </c:pt>
                <c:pt idx="114">
                  <c:v>5275</c:v>
                </c:pt>
                <c:pt idx="115">
                  <c:v>5016</c:v>
                </c:pt>
                <c:pt idx="116">
                  <c:v>7773</c:v>
                </c:pt>
                <c:pt idx="117">
                  <c:v>6343</c:v>
                </c:pt>
                <c:pt idx="118">
                  <c:v>7796</c:v>
                </c:pt>
                <c:pt idx="119">
                  <c:v>6767</c:v>
                </c:pt>
                <c:pt idx="120">
                  <c:v>7820</c:v>
                </c:pt>
                <c:pt idx="121">
                  <c:v>4337</c:v>
                </c:pt>
                <c:pt idx="122">
                  <c:v>4878</c:v>
                </c:pt>
                <c:pt idx="123">
                  <c:v>5076</c:v>
                </c:pt>
                <c:pt idx="124">
                  <c:v>4791</c:v>
                </c:pt>
                <c:pt idx="125">
                  <c:v>7993</c:v>
                </c:pt>
                <c:pt idx="126">
                  <c:v>6264</c:v>
                </c:pt>
                <c:pt idx="127">
                  <c:v>4763</c:v>
                </c:pt>
                <c:pt idx="128">
                  <c:v>6235</c:v>
                </c:pt>
                <c:pt idx="129">
                  <c:v>4379</c:v>
                </c:pt>
                <c:pt idx="130">
                  <c:v>4492</c:v>
                </c:pt>
                <c:pt idx="131">
                  <c:v>7112</c:v>
                </c:pt>
                <c:pt idx="132">
                  <c:v>5180</c:v>
                </c:pt>
                <c:pt idx="133">
                  <c:v>6062</c:v>
                </c:pt>
                <c:pt idx="134">
                  <c:v>7884</c:v>
                </c:pt>
                <c:pt idx="135">
                  <c:v>4064</c:v>
                </c:pt>
                <c:pt idx="136">
                  <c:v>7928</c:v>
                </c:pt>
                <c:pt idx="137">
                  <c:v>7910</c:v>
                </c:pt>
                <c:pt idx="138">
                  <c:v>6568</c:v>
                </c:pt>
                <c:pt idx="139">
                  <c:v>5367</c:v>
                </c:pt>
                <c:pt idx="140">
                  <c:v>5152</c:v>
                </c:pt>
                <c:pt idx="141">
                  <c:v>6027</c:v>
                </c:pt>
                <c:pt idx="142">
                  <c:v>6695</c:v>
                </c:pt>
                <c:pt idx="143">
                  <c:v>5495</c:v>
                </c:pt>
                <c:pt idx="144">
                  <c:v>7134</c:v>
                </c:pt>
                <c:pt idx="145">
                  <c:v>5162</c:v>
                </c:pt>
                <c:pt idx="146">
                  <c:v>5522</c:v>
                </c:pt>
                <c:pt idx="147">
                  <c:v>6640</c:v>
                </c:pt>
                <c:pt idx="148">
                  <c:v>4391</c:v>
                </c:pt>
                <c:pt idx="149">
                  <c:v>5698</c:v>
                </c:pt>
                <c:pt idx="150">
                  <c:v>4418</c:v>
                </c:pt>
                <c:pt idx="151">
                  <c:v>6336</c:v>
                </c:pt>
                <c:pt idx="152">
                  <c:v>4378</c:v>
                </c:pt>
                <c:pt idx="153">
                  <c:v>5796</c:v>
                </c:pt>
                <c:pt idx="154">
                  <c:v>7561</c:v>
                </c:pt>
                <c:pt idx="155">
                  <c:v>6278</c:v>
                </c:pt>
                <c:pt idx="156">
                  <c:v>7065</c:v>
                </c:pt>
                <c:pt idx="157">
                  <c:v>6088</c:v>
                </c:pt>
                <c:pt idx="158">
                  <c:v>7099</c:v>
                </c:pt>
                <c:pt idx="159">
                  <c:v>6182</c:v>
                </c:pt>
                <c:pt idx="160">
                  <c:v>4200</c:v>
                </c:pt>
                <c:pt idx="161">
                  <c:v>5863</c:v>
                </c:pt>
                <c:pt idx="162">
                  <c:v>4779</c:v>
                </c:pt>
                <c:pt idx="163">
                  <c:v>6977</c:v>
                </c:pt>
                <c:pt idx="164">
                  <c:v>7104</c:v>
                </c:pt>
                <c:pt idx="165">
                  <c:v>7119</c:v>
                </c:pt>
                <c:pt idx="166">
                  <c:v>4502</c:v>
                </c:pt>
                <c:pt idx="167">
                  <c:v>6454</c:v>
                </c:pt>
                <c:pt idx="168">
                  <c:v>7645</c:v>
                </c:pt>
                <c:pt idx="169">
                  <c:v>5751</c:v>
                </c:pt>
                <c:pt idx="170">
                  <c:v>4804</c:v>
                </c:pt>
                <c:pt idx="171">
                  <c:v>6146</c:v>
                </c:pt>
                <c:pt idx="172">
                  <c:v>6731</c:v>
                </c:pt>
                <c:pt idx="173">
                  <c:v>5895</c:v>
                </c:pt>
                <c:pt idx="174">
                  <c:v>6773</c:v>
                </c:pt>
                <c:pt idx="175">
                  <c:v>5570</c:v>
                </c:pt>
                <c:pt idx="176">
                  <c:v>4960</c:v>
                </c:pt>
                <c:pt idx="177">
                  <c:v>7810</c:v>
                </c:pt>
                <c:pt idx="178">
                  <c:v>6660</c:v>
                </c:pt>
                <c:pt idx="179">
                  <c:v>5485</c:v>
                </c:pt>
                <c:pt idx="180">
                  <c:v>6690</c:v>
                </c:pt>
                <c:pt idx="181">
                  <c:v>7840</c:v>
                </c:pt>
                <c:pt idx="182">
                  <c:v>5028</c:v>
                </c:pt>
                <c:pt idx="183">
                  <c:v>7289</c:v>
                </c:pt>
                <c:pt idx="184">
                  <c:v>4502</c:v>
                </c:pt>
                <c:pt idx="185">
                  <c:v>6814</c:v>
                </c:pt>
                <c:pt idx="186">
                  <c:v>4397</c:v>
                </c:pt>
                <c:pt idx="187">
                  <c:v>4870</c:v>
                </c:pt>
                <c:pt idx="188">
                  <c:v>6842</c:v>
                </c:pt>
                <c:pt idx="189">
                  <c:v>4392</c:v>
                </c:pt>
                <c:pt idx="190">
                  <c:v>4206</c:v>
                </c:pt>
                <c:pt idx="191">
                  <c:v>5038</c:v>
                </c:pt>
                <c:pt idx="192">
                  <c:v>5881</c:v>
                </c:pt>
                <c:pt idx="193">
                  <c:v>7625</c:v>
                </c:pt>
                <c:pt idx="194">
                  <c:v>6939</c:v>
                </c:pt>
                <c:pt idx="195">
                  <c:v>5484</c:v>
                </c:pt>
                <c:pt idx="196">
                  <c:v>7762</c:v>
                </c:pt>
                <c:pt idx="197">
                  <c:v>7646</c:v>
                </c:pt>
                <c:pt idx="198">
                  <c:v>4863</c:v>
                </c:pt>
                <c:pt idx="199">
                  <c:v>6790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81F-4BBB-8546-FDD084C232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46023696"/>
        <c:axId val="1846024176"/>
      </c:lineChart>
      <c:dateAx>
        <c:axId val="1846023696"/>
        <c:scaling>
          <c:orientation val="minMax"/>
        </c:scaling>
        <c:delete val="0"/>
        <c:axPos val="b"/>
        <c:numFmt formatCode="yyyy\-mm\-dd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6024176"/>
        <c:crosses val="autoZero"/>
        <c:auto val="1"/>
        <c:lblOffset val="100"/>
        <c:baseTimeUnit val="months"/>
      </c:dateAx>
      <c:valAx>
        <c:axId val="184602417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6023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Financial Posting Time:</a:t>
            </a:r>
            <a:r>
              <a:rPr lang="en-US" baseline="0"/>
              <a:t> Before vs After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969696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C47-4E45-860C-B606E979D93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Summary!$B$2:$C$2</c:f>
              <c:numCache>
                <c:formatCode>General</c:formatCode>
                <c:ptCount val="2"/>
                <c:pt idx="0">
                  <c:v>21.86</c:v>
                </c:pt>
                <c:pt idx="1">
                  <c:v>14.332999999999993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7-4E45-860C-B606E979D9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1755376"/>
        <c:axId val="1661757296"/>
      </c:barChart>
      <c:catAx>
        <c:axId val="16617553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757296"/>
        <c:crosses val="autoZero"/>
        <c:auto val="1"/>
        <c:lblAlgn val="ctr"/>
        <c:lblOffset val="100"/>
        <c:noMultiLvlLbl val="0"/>
      </c:catAx>
      <c:valAx>
        <c:axId val="1661757296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755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308403</xdr:colOff>
      <xdr:row>5</xdr:row>
      <xdr:rowOff>606</xdr:rowOff>
    </xdr:from>
    <xdr:to>
      <xdr:col>13</xdr:col>
      <xdr:colOff>1600</xdr:colOff>
      <xdr:row>20</xdr:row>
      <xdr:rowOff>22378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ED68BB3-61D0-4A18-A7D3-C04BDB8FAD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9876</xdr:colOff>
      <xdr:row>4</xdr:row>
      <xdr:rowOff>174543</xdr:rowOff>
    </xdr:from>
    <xdr:to>
      <xdr:col>21</xdr:col>
      <xdr:colOff>293116</xdr:colOff>
      <xdr:row>20</xdr:row>
      <xdr:rowOff>30350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FD99B70-9068-418D-8CA6-83F1EE9800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270809</xdr:colOff>
      <xdr:row>22</xdr:row>
      <xdr:rowOff>37353</xdr:rowOff>
    </xdr:from>
    <xdr:to>
      <xdr:col>12</xdr:col>
      <xdr:colOff>593911</xdr:colOff>
      <xdr:row>36</xdr:row>
      <xdr:rowOff>165848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519E84F-E7DB-43DF-AC7D-ADC0725D06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1"/>
  <sheetViews>
    <sheetView zoomScale="62" workbookViewId="0">
      <selection activeCell="F16" sqref="F16"/>
    </sheetView>
  </sheetViews>
  <sheetFormatPr defaultRowHeight="14.5" x14ac:dyDescent="0.35"/>
  <cols>
    <col min="1" max="1" width="21.81640625" customWidth="1"/>
    <col min="2" max="2" width="9.90625" bestFit="1" customWidth="1"/>
    <col min="3" max="3" width="11.36328125" bestFit="1" customWidth="1"/>
    <col min="4" max="4" width="11.26953125" bestFit="1" customWidth="1"/>
    <col min="5" max="5" width="18.26953125" bestFit="1" customWidth="1"/>
    <col min="6" max="6" width="16.90625" bestFit="1" customWidth="1"/>
    <col min="7" max="7" width="11.08984375" bestFit="1" customWidth="1"/>
    <col min="8" max="8" width="24" bestFit="1" customWidth="1"/>
    <col min="9" max="9" width="12.1796875" style="8" bestFit="1" customWidth="1"/>
    <col min="10" max="10" width="10.54296875" style="6" bestFit="1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3" t="s">
        <v>21</v>
      </c>
      <c r="I1" s="7" t="s">
        <v>23</v>
      </c>
      <c r="J1" s="5"/>
    </row>
    <row r="2" spans="1:10" x14ac:dyDescent="0.35">
      <c r="A2" s="2">
        <v>45658</v>
      </c>
      <c r="B2">
        <v>7174</v>
      </c>
      <c r="C2">
        <v>6410</v>
      </c>
      <c r="D2">
        <f>B2-C2</f>
        <v>764</v>
      </c>
      <c r="E2">
        <v>817</v>
      </c>
      <c r="F2">
        <v>17</v>
      </c>
      <c r="G2">
        <v>1</v>
      </c>
      <c r="H2">
        <f>1-ABS((D2-E2)/ABS(D2))</f>
        <v>0.93062827225130884</v>
      </c>
      <c r="I2" s="8">
        <f>G2/100</f>
        <v>0.01</v>
      </c>
    </row>
    <row r="3" spans="1:10" x14ac:dyDescent="0.35">
      <c r="A3" s="2">
        <v>45659</v>
      </c>
      <c r="B3">
        <v>7507</v>
      </c>
      <c r="C3">
        <v>7444</v>
      </c>
      <c r="D3">
        <f t="shared" ref="D3:D66" si="0">B3-C3</f>
        <v>63</v>
      </c>
      <c r="E3">
        <v>89</v>
      </c>
      <c r="F3">
        <v>19</v>
      </c>
      <c r="G3">
        <v>1</v>
      </c>
      <c r="H3">
        <f t="shared" ref="H3:H66" si="1">1-ABS((D3-E3)/ABS(D3))</f>
        <v>0.58730158730158732</v>
      </c>
      <c r="I3" s="8">
        <f t="shared" ref="I3:I66" si="2">G3/100</f>
        <v>0.01</v>
      </c>
    </row>
    <row r="4" spans="1:10" x14ac:dyDescent="0.35">
      <c r="A4" s="2">
        <v>45660</v>
      </c>
      <c r="B4">
        <v>4860</v>
      </c>
      <c r="C4">
        <v>4340</v>
      </c>
      <c r="D4">
        <f t="shared" si="0"/>
        <v>520</v>
      </c>
      <c r="E4">
        <v>431</v>
      </c>
      <c r="F4">
        <v>20</v>
      </c>
      <c r="G4">
        <v>4</v>
      </c>
      <c r="H4">
        <f t="shared" si="1"/>
        <v>0.82884615384615379</v>
      </c>
      <c r="I4" s="8">
        <f t="shared" si="2"/>
        <v>0.04</v>
      </c>
    </row>
    <row r="5" spans="1:10" x14ac:dyDescent="0.35">
      <c r="A5" s="2">
        <v>45661</v>
      </c>
      <c r="B5">
        <v>5294</v>
      </c>
      <c r="C5">
        <v>5699</v>
      </c>
      <c r="D5">
        <f t="shared" si="0"/>
        <v>-405</v>
      </c>
      <c r="E5">
        <v>-507</v>
      </c>
      <c r="F5">
        <v>23</v>
      </c>
      <c r="G5">
        <v>4</v>
      </c>
      <c r="H5">
        <f t="shared" si="1"/>
        <v>0.74814814814814823</v>
      </c>
      <c r="I5" s="8">
        <f t="shared" si="2"/>
        <v>0.04</v>
      </c>
    </row>
    <row r="6" spans="1:10" x14ac:dyDescent="0.35">
      <c r="A6" s="2">
        <v>45662</v>
      </c>
      <c r="B6">
        <v>5130</v>
      </c>
      <c r="C6">
        <v>3707</v>
      </c>
      <c r="D6">
        <f t="shared" si="0"/>
        <v>1423</v>
      </c>
      <c r="E6">
        <v>1375</v>
      </c>
      <c r="F6">
        <v>27</v>
      </c>
      <c r="G6">
        <v>4</v>
      </c>
      <c r="H6">
        <f t="shared" si="1"/>
        <v>0.96626844694307801</v>
      </c>
      <c r="I6" s="8">
        <f t="shared" si="2"/>
        <v>0.04</v>
      </c>
    </row>
    <row r="7" spans="1:10" x14ac:dyDescent="0.35">
      <c r="A7" s="2">
        <v>45663</v>
      </c>
      <c r="B7">
        <v>5095</v>
      </c>
      <c r="C7">
        <v>3838</v>
      </c>
      <c r="D7">
        <f t="shared" si="0"/>
        <v>1257</v>
      </c>
      <c r="E7">
        <v>1405</v>
      </c>
      <c r="F7">
        <v>28</v>
      </c>
      <c r="G7">
        <v>2</v>
      </c>
      <c r="H7">
        <f t="shared" si="1"/>
        <v>0.8822593476531424</v>
      </c>
      <c r="I7" s="8">
        <f t="shared" si="2"/>
        <v>0.02</v>
      </c>
    </row>
    <row r="8" spans="1:10" x14ac:dyDescent="0.35">
      <c r="A8" s="2">
        <v>45664</v>
      </c>
      <c r="B8">
        <v>8846</v>
      </c>
      <c r="C8">
        <v>7788</v>
      </c>
      <c r="D8">
        <f t="shared" si="0"/>
        <v>1058</v>
      </c>
      <c r="E8">
        <v>750</v>
      </c>
      <c r="F8">
        <v>26</v>
      </c>
      <c r="G8">
        <v>4</v>
      </c>
      <c r="H8">
        <f t="shared" si="1"/>
        <v>0.70888468809073724</v>
      </c>
      <c r="I8" s="8">
        <f t="shared" si="2"/>
        <v>0.04</v>
      </c>
    </row>
    <row r="9" spans="1:10" x14ac:dyDescent="0.35">
      <c r="A9" s="2">
        <v>45665</v>
      </c>
      <c r="B9">
        <v>7092</v>
      </c>
      <c r="C9">
        <v>6162</v>
      </c>
      <c r="D9">
        <f t="shared" si="0"/>
        <v>930</v>
      </c>
      <c r="E9">
        <v>1095</v>
      </c>
      <c r="F9">
        <v>19</v>
      </c>
      <c r="G9">
        <v>0</v>
      </c>
      <c r="H9">
        <f t="shared" si="1"/>
        <v>0.82258064516129026</v>
      </c>
      <c r="I9" s="8">
        <f t="shared" si="2"/>
        <v>0</v>
      </c>
    </row>
    <row r="10" spans="1:10" x14ac:dyDescent="0.35">
      <c r="A10" s="2">
        <v>45666</v>
      </c>
      <c r="B10">
        <v>5638</v>
      </c>
      <c r="C10">
        <v>5908</v>
      </c>
      <c r="D10">
        <f t="shared" si="0"/>
        <v>-270</v>
      </c>
      <c r="E10">
        <v>-133</v>
      </c>
      <c r="F10">
        <v>29</v>
      </c>
      <c r="G10">
        <v>3</v>
      </c>
      <c r="H10">
        <f t="shared" si="1"/>
        <v>0.49259259259259258</v>
      </c>
      <c r="I10" s="8">
        <f t="shared" si="2"/>
        <v>0.03</v>
      </c>
    </row>
    <row r="11" spans="1:10" x14ac:dyDescent="0.35">
      <c r="A11" s="2">
        <v>45667</v>
      </c>
      <c r="B11">
        <v>6169</v>
      </c>
      <c r="C11">
        <v>5921</v>
      </c>
      <c r="D11">
        <f t="shared" si="0"/>
        <v>248</v>
      </c>
      <c r="E11">
        <v>241</v>
      </c>
      <c r="F11">
        <v>15</v>
      </c>
      <c r="G11">
        <v>0</v>
      </c>
      <c r="H11">
        <f t="shared" si="1"/>
        <v>0.97177419354838712</v>
      </c>
      <c r="I11" s="8">
        <f t="shared" si="2"/>
        <v>0</v>
      </c>
    </row>
    <row r="12" spans="1:10" x14ac:dyDescent="0.35">
      <c r="A12" s="2">
        <v>45668</v>
      </c>
      <c r="B12">
        <v>4466</v>
      </c>
      <c r="C12">
        <v>3288</v>
      </c>
      <c r="D12">
        <f t="shared" si="0"/>
        <v>1178</v>
      </c>
      <c r="E12">
        <v>1287</v>
      </c>
      <c r="F12">
        <v>28</v>
      </c>
      <c r="G12">
        <v>0</v>
      </c>
      <c r="H12">
        <f t="shared" si="1"/>
        <v>0.90747028862478774</v>
      </c>
      <c r="I12" s="8">
        <f t="shared" si="2"/>
        <v>0</v>
      </c>
    </row>
    <row r="13" spans="1:10" x14ac:dyDescent="0.35">
      <c r="A13" s="2">
        <v>45669</v>
      </c>
      <c r="B13">
        <v>5238</v>
      </c>
      <c r="C13">
        <v>4544</v>
      </c>
      <c r="D13">
        <f t="shared" si="0"/>
        <v>694</v>
      </c>
      <c r="E13">
        <v>656</v>
      </c>
      <c r="F13">
        <v>28</v>
      </c>
      <c r="G13">
        <v>4</v>
      </c>
      <c r="H13">
        <f t="shared" si="1"/>
        <v>0.94524495677233433</v>
      </c>
      <c r="I13" s="8">
        <f t="shared" si="2"/>
        <v>0.04</v>
      </c>
    </row>
    <row r="14" spans="1:10" x14ac:dyDescent="0.35">
      <c r="A14" s="2">
        <v>45670</v>
      </c>
      <c r="B14">
        <v>4550</v>
      </c>
      <c r="C14">
        <v>4290</v>
      </c>
      <c r="D14">
        <f>B14-C14</f>
        <v>260</v>
      </c>
      <c r="E14">
        <v>160</v>
      </c>
      <c r="F14">
        <v>28</v>
      </c>
      <c r="G14">
        <v>3</v>
      </c>
      <c r="H14">
        <f t="shared" si="1"/>
        <v>0.61538461538461542</v>
      </c>
      <c r="I14" s="8">
        <f t="shared" si="2"/>
        <v>0.03</v>
      </c>
    </row>
    <row r="15" spans="1:10" x14ac:dyDescent="0.35">
      <c r="A15" s="2">
        <v>45671</v>
      </c>
      <c r="B15">
        <v>5482</v>
      </c>
      <c r="C15">
        <v>4923</v>
      </c>
      <c r="D15">
        <f t="shared" si="0"/>
        <v>559</v>
      </c>
      <c r="E15">
        <v>527</v>
      </c>
      <c r="F15">
        <v>18</v>
      </c>
      <c r="G15">
        <v>3</v>
      </c>
      <c r="H15">
        <f t="shared" si="1"/>
        <v>0.9427549194991055</v>
      </c>
      <c r="I15" s="8">
        <f t="shared" si="2"/>
        <v>0.03</v>
      </c>
    </row>
    <row r="16" spans="1:10" x14ac:dyDescent="0.35">
      <c r="A16" s="2">
        <v>45672</v>
      </c>
      <c r="B16">
        <v>6135</v>
      </c>
      <c r="C16">
        <v>6111</v>
      </c>
      <c r="D16">
        <f t="shared" si="0"/>
        <v>24</v>
      </c>
      <c r="E16">
        <v>-16</v>
      </c>
      <c r="F16">
        <v>19</v>
      </c>
      <c r="G16">
        <v>3</v>
      </c>
      <c r="H16">
        <f t="shared" si="1"/>
        <v>-0.66666666666666674</v>
      </c>
      <c r="I16" s="8">
        <f t="shared" si="2"/>
        <v>0.03</v>
      </c>
    </row>
    <row r="17" spans="1:9" x14ac:dyDescent="0.35">
      <c r="A17" s="2">
        <v>45673</v>
      </c>
      <c r="B17">
        <v>7444</v>
      </c>
      <c r="C17">
        <v>6761</v>
      </c>
      <c r="D17">
        <f t="shared" si="0"/>
        <v>683</v>
      </c>
      <c r="E17">
        <v>550</v>
      </c>
      <c r="F17">
        <v>26</v>
      </c>
      <c r="G17">
        <v>2</v>
      </c>
      <c r="H17">
        <f t="shared" si="1"/>
        <v>0.80527086383601754</v>
      </c>
      <c r="I17" s="8">
        <f t="shared" si="2"/>
        <v>0.02</v>
      </c>
    </row>
    <row r="18" spans="1:9" x14ac:dyDescent="0.35">
      <c r="A18" s="2">
        <v>45674</v>
      </c>
      <c r="B18">
        <v>7171</v>
      </c>
      <c r="C18">
        <v>5809</v>
      </c>
      <c r="D18">
        <f t="shared" si="0"/>
        <v>1362</v>
      </c>
      <c r="E18">
        <v>1450</v>
      </c>
      <c r="F18">
        <v>24</v>
      </c>
      <c r="G18">
        <v>4</v>
      </c>
      <c r="H18">
        <f t="shared" si="1"/>
        <v>0.93538913362701903</v>
      </c>
      <c r="I18" s="8">
        <f t="shared" si="2"/>
        <v>0.04</v>
      </c>
    </row>
    <row r="19" spans="1:9" x14ac:dyDescent="0.35">
      <c r="A19" s="2">
        <v>45675</v>
      </c>
      <c r="B19">
        <v>6919</v>
      </c>
      <c r="C19">
        <v>5697</v>
      </c>
      <c r="D19">
        <f t="shared" si="0"/>
        <v>1222</v>
      </c>
      <c r="E19">
        <v>1419</v>
      </c>
      <c r="F19">
        <v>24</v>
      </c>
      <c r="G19">
        <v>3</v>
      </c>
      <c r="H19">
        <f t="shared" si="1"/>
        <v>0.83878887070376429</v>
      </c>
      <c r="I19" s="8">
        <f t="shared" si="2"/>
        <v>0.03</v>
      </c>
    </row>
    <row r="20" spans="1:9" x14ac:dyDescent="0.35">
      <c r="A20" s="2">
        <v>45676</v>
      </c>
      <c r="B20">
        <v>7735</v>
      </c>
      <c r="C20">
        <v>6969</v>
      </c>
      <c r="D20">
        <f t="shared" si="0"/>
        <v>766</v>
      </c>
      <c r="E20">
        <v>842</v>
      </c>
      <c r="F20">
        <v>19</v>
      </c>
      <c r="G20">
        <v>2</v>
      </c>
      <c r="H20">
        <f t="shared" si="1"/>
        <v>0.90078328981723232</v>
      </c>
      <c r="I20" s="8">
        <f t="shared" si="2"/>
        <v>0.02</v>
      </c>
    </row>
    <row r="21" spans="1:9" x14ac:dyDescent="0.35">
      <c r="A21" s="2">
        <v>45677</v>
      </c>
      <c r="B21">
        <v>4130</v>
      </c>
      <c r="C21">
        <v>3521</v>
      </c>
      <c r="D21">
        <f t="shared" si="0"/>
        <v>609</v>
      </c>
      <c r="E21">
        <v>712</v>
      </c>
      <c r="F21">
        <v>21</v>
      </c>
      <c r="G21">
        <v>1</v>
      </c>
      <c r="H21">
        <f t="shared" si="1"/>
        <v>0.8308702791461412</v>
      </c>
      <c r="I21" s="8">
        <f t="shared" si="2"/>
        <v>0.01</v>
      </c>
    </row>
    <row r="22" spans="1:9" x14ac:dyDescent="0.35">
      <c r="A22" s="2">
        <v>45678</v>
      </c>
      <c r="B22">
        <v>5685</v>
      </c>
      <c r="C22">
        <v>4366</v>
      </c>
      <c r="D22">
        <f t="shared" si="0"/>
        <v>1319</v>
      </c>
      <c r="E22">
        <v>1502</v>
      </c>
      <c r="F22">
        <v>18</v>
      </c>
      <c r="G22">
        <v>1</v>
      </c>
      <c r="H22">
        <f t="shared" si="1"/>
        <v>0.86125852918877932</v>
      </c>
      <c r="I22" s="8">
        <f t="shared" si="2"/>
        <v>0.01</v>
      </c>
    </row>
    <row r="23" spans="1:9" x14ac:dyDescent="0.35">
      <c r="A23" s="2">
        <v>45679</v>
      </c>
      <c r="B23">
        <v>7380</v>
      </c>
      <c r="C23">
        <v>7303</v>
      </c>
      <c r="D23">
        <f t="shared" si="0"/>
        <v>77</v>
      </c>
      <c r="E23">
        <v>268</v>
      </c>
      <c r="F23">
        <v>15</v>
      </c>
      <c r="G23">
        <v>2</v>
      </c>
      <c r="H23">
        <f t="shared" si="1"/>
        <v>-1.4805194805194803</v>
      </c>
      <c r="I23" s="8">
        <f t="shared" si="2"/>
        <v>0.02</v>
      </c>
    </row>
    <row r="24" spans="1:9" x14ac:dyDescent="0.35">
      <c r="A24" s="2">
        <v>45680</v>
      </c>
      <c r="B24">
        <v>4769</v>
      </c>
      <c r="C24">
        <v>4588</v>
      </c>
      <c r="D24">
        <f t="shared" si="0"/>
        <v>181</v>
      </c>
      <c r="E24">
        <v>115</v>
      </c>
      <c r="F24">
        <v>28</v>
      </c>
      <c r="G24">
        <v>2</v>
      </c>
      <c r="H24">
        <f t="shared" si="1"/>
        <v>0.63535911602209949</v>
      </c>
      <c r="I24" s="8">
        <f t="shared" si="2"/>
        <v>0.02</v>
      </c>
    </row>
    <row r="25" spans="1:9" x14ac:dyDescent="0.35">
      <c r="A25" s="2">
        <v>45681</v>
      </c>
      <c r="B25">
        <v>6391</v>
      </c>
      <c r="C25">
        <v>6335</v>
      </c>
      <c r="D25">
        <f t="shared" si="0"/>
        <v>56</v>
      </c>
      <c r="E25">
        <v>50</v>
      </c>
      <c r="F25">
        <v>28</v>
      </c>
      <c r="G25">
        <v>4</v>
      </c>
      <c r="H25">
        <f t="shared" si="1"/>
        <v>0.8928571428571429</v>
      </c>
      <c r="I25" s="8">
        <f t="shared" si="2"/>
        <v>0.04</v>
      </c>
    </row>
    <row r="26" spans="1:9" x14ac:dyDescent="0.35">
      <c r="A26" s="2">
        <v>45682</v>
      </c>
      <c r="B26">
        <v>5515</v>
      </c>
      <c r="C26">
        <v>4418</v>
      </c>
      <c r="D26">
        <f t="shared" si="0"/>
        <v>1097</v>
      </c>
      <c r="E26">
        <v>1024</v>
      </c>
      <c r="F26">
        <v>19</v>
      </c>
      <c r="G26">
        <v>4</v>
      </c>
      <c r="H26">
        <f t="shared" si="1"/>
        <v>0.93345487693710116</v>
      </c>
      <c r="I26" s="8">
        <f t="shared" si="2"/>
        <v>0.04</v>
      </c>
    </row>
    <row r="27" spans="1:9" x14ac:dyDescent="0.35">
      <c r="A27" s="2">
        <v>45683</v>
      </c>
      <c r="B27">
        <v>7485</v>
      </c>
      <c r="C27">
        <v>6009</v>
      </c>
      <c r="D27">
        <f t="shared" si="0"/>
        <v>1476</v>
      </c>
      <c r="E27">
        <v>1308</v>
      </c>
      <c r="F27">
        <v>21</v>
      </c>
      <c r="G27">
        <v>1</v>
      </c>
      <c r="H27">
        <f t="shared" si="1"/>
        <v>0.88617886178861793</v>
      </c>
      <c r="I27" s="8">
        <f t="shared" si="2"/>
        <v>0.01</v>
      </c>
    </row>
    <row r="28" spans="1:9" x14ac:dyDescent="0.35">
      <c r="A28" s="2">
        <v>45684</v>
      </c>
      <c r="B28">
        <v>6853</v>
      </c>
      <c r="C28">
        <v>6341</v>
      </c>
      <c r="D28">
        <f t="shared" si="0"/>
        <v>512</v>
      </c>
      <c r="E28">
        <v>487</v>
      </c>
      <c r="F28">
        <v>24</v>
      </c>
      <c r="G28">
        <v>3</v>
      </c>
      <c r="H28">
        <f t="shared" si="1"/>
        <v>0.951171875</v>
      </c>
      <c r="I28" s="8">
        <f t="shared" si="2"/>
        <v>0.03</v>
      </c>
    </row>
    <row r="29" spans="1:9" x14ac:dyDescent="0.35">
      <c r="A29" s="2">
        <v>45685</v>
      </c>
      <c r="B29">
        <v>6433</v>
      </c>
      <c r="C29">
        <v>6288</v>
      </c>
      <c r="D29">
        <f t="shared" si="0"/>
        <v>145</v>
      </c>
      <c r="E29">
        <v>315</v>
      </c>
      <c r="F29">
        <v>24</v>
      </c>
      <c r="G29">
        <v>1</v>
      </c>
      <c r="H29">
        <f t="shared" si="1"/>
        <v>-0.17241379310344818</v>
      </c>
      <c r="I29" s="8">
        <f t="shared" si="2"/>
        <v>0.01</v>
      </c>
    </row>
    <row r="30" spans="1:9" x14ac:dyDescent="0.35">
      <c r="A30" s="2">
        <v>45686</v>
      </c>
      <c r="B30">
        <v>5215</v>
      </c>
      <c r="C30">
        <v>4920</v>
      </c>
      <c r="D30">
        <f t="shared" si="0"/>
        <v>295</v>
      </c>
      <c r="E30">
        <v>469</v>
      </c>
      <c r="F30">
        <v>20</v>
      </c>
      <c r="G30">
        <v>3</v>
      </c>
      <c r="H30">
        <f t="shared" si="1"/>
        <v>0.4101694915254237</v>
      </c>
      <c r="I30" s="8">
        <f t="shared" si="2"/>
        <v>0.03</v>
      </c>
    </row>
    <row r="31" spans="1:9" x14ac:dyDescent="0.35">
      <c r="A31" s="2">
        <v>45687</v>
      </c>
      <c r="B31">
        <v>4955</v>
      </c>
      <c r="C31">
        <v>4404</v>
      </c>
      <c r="D31">
        <f t="shared" si="0"/>
        <v>551</v>
      </c>
      <c r="E31">
        <v>372</v>
      </c>
      <c r="F31">
        <v>19</v>
      </c>
      <c r="G31">
        <v>3</v>
      </c>
      <c r="H31">
        <f t="shared" si="1"/>
        <v>0.67513611615245006</v>
      </c>
      <c r="I31" s="8">
        <f t="shared" si="2"/>
        <v>0.03</v>
      </c>
    </row>
    <row r="32" spans="1:9" x14ac:dyDescent="0.35">
      <c r="A32" s="2">
        <v>45688</v>
      </c>
      <c r="B32">
        <v>6324</v>
      </c>
      <c r="C32">
        <v>5181</v>
      </c>
      <c r="D32">
        <f t="shared" si="0"/>
        <v>1143</v>
      </c>
      <c r="E32">
        <v>1180</v>
      </c>
      <c r="F32">
        <v>18</v>
      </c>
      <c r="G32">
        <v>4</v>
      </c>
      <c r="H32">
        <f t="shared" si="1"/>
        <v>0.96762904636920388</v>
      </c>
      <c r="I32" s="8">
        <f t="shared" si="2"/>
        <v>0.04</v>
      </c>
    </row>
    <row r="33" spans="1:9" x14ac:dyDescent="0.35">
      <c r="A33" s="2">
        <v>45689</v>
      </c>
      <c r="B33">
        <v>5184</v>
      </c>
      <c r="C33">
        <v>4105</v>
      </c>
      <c r="D33">
        <f t="shared" si="0"/>
        <v>1079</v>
      </c>
      <c r="E33">
        <v>1036</v>
      </c>
      <c r="F33">
        <v>16</v>
      </c>
      <c r="G33">
        <v>0</v>
      </c>
      <c r="H33">
        <f t="shared" si="1"/>
        <v>0.96014828544949027</v>
      </c>
      <c r="I33" s="8">
        <f t="shared" si="2"/>
        <v>0</v>
      </c>
    </row>
    <row r="34" spans="1:9" x14ac:dyDescent="0.35">
      <c r="A34" s="2">
        <v>45690</v>
      </c>
      <c r="B34">
        <v>4459</v>
      </c>
      <c r="C34">
        <v>3596</v>
      </c>
      <c r="D34">
        <f t="shared" si="0"/>
        <v>863</v>
      </c>
      <c r="E34">
        <v>700</v>
      </c>
      <c r="F34">
        <v>18</v>
      </c>
      <c r="G34">
        <v>0</v>
      </c>
      <c r="H34">
        <f t="shared" si="1"/>
        <v>0.81112398609501735</v>
      </c>
      <c r="I34" s="8">
        <f t="shared" si="2"/>
        <v>0</v>
      </c>
    </row>
    <row r="35" spans="1:9" x14ac:dyDescent="0.35">
      <c r="A35" s="2">
        <v>45691</v>
      </c>
      <c r="B35">
        <v>7385</v>
      </c>
      <c r="C35">
        <v>6064</v>
      </c>
      <c r="D35">
        <f t="shared" si="0"/>
        <v>1321</v>
      </c>
      <c r="E35">
        <v>1350</v>
      </c>
      <c r="F35">
        <v>29</v>
      </c>
      <c r="G35">
        <v>2</v>
      </c>
      <c r="H35">
        <f t="shared" si="1"/>
        <v>0.97804693414080246</v>
      </c>
      <c r="I35" s="8">
        <f t="shared" si="2"/>
        <v>0.02</v>
      </c>
    </row>
    <row r="36" spans="1:9" x14ac:dyDescent="0.35">
      <c r="A36" s="2">
        <v>45692</v>
      </c>
      <c r="B36">
        <v>4021</v>
      </c>
      <c r="C36">
        <v>2540</v>
      </c>
      <c r="D36">
        <f t="shared" si="0"/>
        <v>1481</v>
      </c>
      <c r="E36">
        <v>1645</v>
      </c>
      <c r="F36">
        <v>24</v>
      </c>
      <c r="G36">
        <v>4</v>
      </c>
      <c r="H36">
        <f t="shared" si="1"/>
        <v>0.88926401080351114</v>
      </c>
      <c r="I36" s="8">
        <f t="shared" si="2"/>
        <v>0.04</v>
      </c>
    </row>
    <row r="37" spans="1:9" x14ac:dyDescent="0.35">
      <c r="A37" s="2">
        <v>45693</v>
      </c>
      <c r="B37">
        <v>6300</v>
      </c>
      <c r="C37">
        <v>5446</v>
      </c>
      <c r="D37">
        <f t="shared" si="0"/>
        <v>854</v>
      </c>
      <c r="E37">
        <v>704</v>
      </c>
      <c r="F37">
        <v>24</v>
      </c>
      <c r="G37">
        <v>3</v>
      </c>
      <c r="H37">
        <f t="shared" si="1"/>
        <v>0.82435597189695553</v>
      </c>
      <c r="I37" s="8">
        <f t="shared" si="2"/>
        <v>0.03</v>
      </c>
    </row>
    <row r="38" spans="1:9" x14ac:dyDescent="0.35">
      <c r="A38" s="2">
        <v>45694</v>
      </c>
      <c r="B38">
        <v>4747</v>
      </c>
      <c r="C38">
        <v>3584</v>
      </c>
      <c r="D38">
        <f t="shared" si="0"/>
        <v>1163</v>
      </c>
      <c r="E38">
        <v>1226</v>
      </c>
      <c r="F38">
        <v>17</v>
      </c>
      <c r="G38">
        <v>0</v>
      </c>
      <c r="H38">
        <f t="shared" si="1"/>
        <v>0.94582975064488395</v>
      </c>
      <c r="I38" s="8">
        <f t="shared" si="2"/>
        <v>0</v>
      </c>
    </row>
    <row r="39" spans="1:9" x14ac:dyDescent="0.35">
      <c r="A39" s="2">
        <v>45695</v>
      </c>
      <c r="B39">
        <v>6904</v>
      </c>
      <c r="C39">
        <v>5875</v>
      </c>
      <c r="D39">
        <f t="shared" si="0"/>
        <v>1029</v>
      </c>
      <c r="E39">
        <v>1111</v>
      </c>
      <c r="F39">
        <v>24</v>
      </c>
      <c r="G39">
        <v>3</v>
      </c>
      <c r="H39">
        <f t="shared" si="1"/>
        <v>0.92031098153547131</v>
      </c>
      <c r="I39" s="8">
        <f t="shared" si="2"/>
        <v>0.03</v>
      </c>
    </row>
    <row r="40" spans="1:9" x14ac:dyDescent="0.35">
      <c r="A40" s="2">
        <v>45696</v>
      </c>
      <c r="B40">
        <v>7632</v>
      </c>
      <c r="C40">
        <v>6761</v>
      </c>
      <c r="D40">
        <f t="shared" si="0"/>
        <v>871</v>
      </c>
      <c r="E40">
        <v>697</v>
      </c>
      <c r="F40">
        <v>15</v>
      </c>
      <c r="G40">
        <v>0</v>
      </c>
      <c r="H40">
        <f t="shared" si="1"/>
        <v>0.80022962112514351</v>
      </c>
      <c r="I40" s="8">
        <f t="shared" si="2"/>
        <v>0</v>
      </c>
    </row>
    <row r="41" spans="1:9" x14ac:dyDescent="0.35">
      <c r="A41" s="2">
        <v>45697</v>
      </c>
      <c r="B41">
        <v>4474</v>
      </c>
      <c r="C41">
        <v>3478</v>
      </c>
      <c r="D41">
        <f t="shared" si="0"/>
        <v>996</v>
      </c>
      <c r="E41">
        <v>1021</v>
      </c>
      <c r="F41">
        <v>22</v>
      </c>
      <c r="G41">
        <v>0</v>
      </c>
      <c r="H41">
        <f t="shared" si="1"/>
        <v>0.97489959839357432</v>
      </c>
      <c r="I41" s="8">
        <f t="shared" si="2"/>
        <v>0</v>
      </c>
    </row>
    <row r="42" spans="1:9" x14ac:dyDescent="0.35">
      <c r="A42" s="2">
        <v>45698</v>
      </c>
      <c r="B42">
        <v>5082</v>
      </c>
      <c r="C42">
        <v>4328</v>
      </c>
      <c r="D42">
        <f t="shared" si="0"/>
        <v>754</v>
      </c>
      <c r="E42">
        <v>830</v>
      </c>
      <c r="F42">
        <v>19</v>
      </c>
      <c r="G42">
        <v>0</v>
      </c>
      <c r="H42">
        <f t="shared" si="1"/>
        <v>0.89920424403183019</v>
      </c>
      <c r="I42" s="8">
        <f t="shared" si="2"/>
        <v>0</v>
      </c>
    </row>
    <row r="43" spans="1:9" x14ac:dyDescent="0.35">
      <c r="A43" s="2">
        <v>45699</v>
      </c>
      <c r="B43">
        <v>6558</v>
      </c>
      <c r="C43">
        <v>6869</v>
      </c>
      <c r="D43">
        <f t="shared" si="0"/>
        <v>-311</v>
      </c>
      <c r="E43">
        <v>-226</v>
      </c>
      <c r="F43">
        <v>27</v>
      </c>
      <c r="G43">
        <v>4</v>
      </c>
      <c r="H43">
        <f t="shared" si="1"/>
        <v>0.72668810289389074</v>
      </c>
      <c r="I43" s="8">
        <f t="shared" si="2"/>
        <v>0.04</v>
      </c>
    </row>
    <row r="44" spans="1:9" x14ac:dyDescent="0.35">
      <c r="A44" s="2">
        <v>45700</v>
      </c>
      <c r="B44">
        <v>7753</v>
      </c>
      <c r="C44">
        <v>7005</v>
      </c>
      <c r="D44">
        <f t="shared" si="0"/>
        <v>748</v>
      </c>
      <c r="E44">
        <v>644</v>
      </c>
      <c r="F44">
        <v>18</v>
      </c>
      <c r="G44">
        <v>1</v>
      </c>
      <c r="H44">
        <f t="shared" si="1"/>
        <v>0.86096256684491979</v>
      </c>
      <c r="I44" s="8">
        <f t="shared" si="2"/>
        <v>0.01</v>
      </c>
    </row>
    <row r="45" spans="1:9" x14ac:dyDescent="0.35">
      <c r="A45" s="2">
        <v>45701</v>
      </c>
      <c r="B45">
        <v>6047</v>
      </c>
      <c r="C45">
        <v>5139</v>
      </c>
      <c r="D45">
        <f t="shared" si="0"/>
        <v>908</v>
      </c>
      <c r="E45">
        <v>991</v>
      </c>
      <c r="F45">
        <v>22</v>
      </c>
      <c r="G45">
        <v>3</v>
      </c>
      <c r="H45">
        <f t="shared" si="1"/>
        <v>0.90859030837004406</v>
      </c>
      <c r="I45" s="8">
        <f t="shared" si="2"/>
        <v>0.03</v>
      </c>
    </row>
    <row r="46" spans="1:9" x14ac:dyDescent="0.35">
      <c r="A46" s="2">
        <v>45702</v>
      </c>
      <c r="B46">
        <v>7547</v>
      </c>
      <c r="C46">
        <v>6647</v>
      </c>
      <c r="D46">
        <f t="shared" si="0"/>
        <v>900</v>
      </c>
      <c r="E46">
        <v>1066</v>
      </c>
      <c r="F46">
        <v>21</v>
      </c>
      <c r="G46">
        <v>4</v>
      </c>
      <c r="H46">
        <f t="shared" si="1"/>
        <v>0.81555555555555559</v>
      </c>
      <c r="I46" s="8">
        <f t="shared" si="2"/>
        <v>0.04</v>
      </c>
    </row>
    <row r="47" spans="1:9" x14ac:dyDescent="0.35">
      <c r="A47" s="2">
        <v>45703</v>
      </c>
      <c r="B47">
        <v>6747</v>
      </c>
      <c r="C47">
        <v>5941</v>
      </c>
      <c r="D47">
        <f t="shared" si="0"/>
        <v>806</v>
      </c>
      <c r="E47">
        <v>922</v>
      </c>
      <c r="F47">
        <v>16</v>
      </c>
      <c r="G47">
        <v>4</v>
      </c>
      <c r="H47">
        <f t="shared" si="1"/>
        <v>0.85607940446650121</v>
      </c>
      <c r="I47" s="8">
        <f t="shared" si="2"/>
        <v>0.04</v>
      </c>
    </row>
    <row r="48" spans="1:9" x14ac:dyDescent="0.35">
      <c r="A48" s="2">
        <v>45704</v>
      </c>
      <c r="B48">
        <v>4975</v>
      </c>
      <c r="C48">
        <v>3494</v>
      </c>
      <c r="D48">
        <f t="shared" si="0"/>
        <v>1481</v>
      </c>
      <c r="E48">
        <v>1584</v>
      </c>
      <c r="F48">
        <v>15</v>
      </c>
      <c r="G48">
        <v>4</v>
      </c>
      <c r="H48">
        <f t="shared" si="1"/>
        <v>0.93045239702903448</v>
      </c>
      <c r="I48" s="8">
        <f t="shared" si="2"/>
        <v>0.04</v>
      </c>
    </row>
    <row r="49" spans="1:9" x14ac:dyDescent="0.35">
      <c r="A49" s="2">
        <v>45705</v>
      </c>
      <c r="B49">
        <v>5806</v>
      </c>
      <c r="C49">
        <v>5674</v>
      </c>
      <c r="D49">
        <f t="shared" si="0"/>
        <v>132</v>
      </c>
      <c r="E49">
        <v>78</v>
      </c>
      <c r="F49">
        <v>26</v>
      </c>
      <c r="G49">
        <v>4</v>
      </c>
      <c r="H49">
        <f t="shared" si="1"/>
        <v>0.59090909090909083</v>
      </c>
      <c r="I49" s="8">
        <f t="shared" si="2"/>
        <v>0.04</v>
      </c>
    </row>
    <row r="50" spans="1:9" x14ac:dyDescent="0.35">
      <c r="A50" s="2">
        <v>45706</v>
      </c>
      <c r="B50">
        <v>4189</v>
      </c>
      <c r="C50">
        <v>4062</v>
      </c>
      <c r="D50">
        <f t="shared" si="0"/>
        <v>127</v>
      </c>
      <c r="E50">
        <v>-70</v>
      </c>
      <c r="F50">
        <v>25</v>
      </c>
      <c r="G50">
        <v>4</v>
      </c>
      <c r="H50">
        <f t="shared" si="1"/>
        <v>-0.55118110236220463</v>
      </c>
      <c r="I50" s="8">
        <f t="shared" si="2"/>
        <v>0.04</v>
      </c>
    </row>
    <row r="51" spans="1:9" x14ac:dyDescent="0.35">
      <c r="A51" s="2">
        <v>45707</v>
      </c>
      <c r="B51">
        <v>7005</v>
      </c>
      <c r="C51">
        <v>6533</v>
      </c>
      <c r="D51">
        <f t="shared" si="0"/>
        <v>472</v>
      </c>
      <c r="E51">
        <v>306</v>
      </c>
      <c r="F51">
        <v>18</v>
      </c>
      <c r="G51">
        <v>2</v>
      </c>
      <c r="H51">
        <f t="shared" si="1"/>
        <v>0.64830508474576276</v>
      </c>
      <c r="I51" s="8">
        <f t="shared" si="2"/>
        <v>0.02</v>
      </c>
    </row>
    <row r="52" spans="1:9" x14ac:dyDescent="0.35">
      <c r="A52" s="2">
        <v>45708</v>
      </c>
      <c r="B52">
        <v>6734</v>
      </c>
      <c r="C52">
        <v>5466</v>
      </c>
      <c r="D52">
        <f t="shared" si="0"/>
        <v>1268</v>
      </c>
      <c r="E52">
        <v>1259</v>
      </c>
      <c r="F52">
        <v>22</v>
      </c>
      <c r="G52">
        <v>3</v>
      </c>
      <c r="H52">
        <f t="shared" si="1"/>
        <v>0.99290220820189279</v>
      </c>
      <c r="I52" s="8">
        <f t="shared" si="2"/>
        <v>0.03</v>
      </c>
    </row>
    <row r="53" spans="1:9" x14ac:dyDescent="0.35">
      <c r="A53" s="2">
        <v>45709</v>
      </c>
      <c r="B53">
        <v>7005</v>
      </c>
      <c r="C53">
        <v>6223</v>
      </c>
      <c r="D53">
        <f t="shared" si="0"/>
        <v>782</v>
      </c>
      <c r="E53">
        <v>630</v>
      </c>
      <c r="F53">
        <v>26</v>
      </c>
      <c r="G53">
        <v>4</v>
      </c>
      <c r="H53">
        <f t="shared" si="1"/>
        <v>0.80562659846547313</v>
      </c>
      <c r="I53" s="8">
        <f t="shared" si="2"/>
        <v>0.04</v>
      </c>
    </row>
    <row r="54" spans="1:9" x14ac:dyDescent="0.35">
      <c r="A54" s="2">
        <v>45710</v>
      </c>
      <c r="B54">
        <v>4562</v>
      </c>
      <c r="C54">
        <v>3680</v>
      </c>
      <c r="D54">
        <f t="shared" si="0"/>
        <v>882</v>
      </c>
      <c r="E54">
        <v>698</v>
      </c>
      <c r="F54">
        <v>16</v>
      </c>
      <c r="G54">
        <v>3</v>
      </c>
      <c r="H54">
        <f t="shared" si="1"/>
        <v>0.79138321995464855</v>
      </c>
      <c r="I54" s="8">
        <f t="shared" si="2"/>
        <v>0.03</v>
      </c>
    </row>
    <row r="55" spans="1:9" x14ac:dyDescent="0.35">
      <c r="A55" s="2">
        <v>45711</v>
      </c>
      <c r="B55">
        <v>5899</v>
      </c>
      <c r="C55">
        <v>5690</v>
      </c>
      <c r="D55">
        <f t="shared" si="0"/>
        <v>209</v>
      </c>
      <c r="E55">
        <v>180</v>
      </c>
      <c r="F55">
        <v>17</v>
      </c>
      <c r="G55">
        <v>2</v>
      </c>
      <c r="H55">
        <f t="shared" si="1"/>
        <v>0.86124401913875603</v>
      </c>
      <c r="I55" s="8">
        <f t="shared" si="2"/>
        <v>0.02</v>
      </c>
    </row>
    <row r="56" spans="1:9" x14ac:dyDescent="0.35">
      <c r="A56" s="2">
        <v>45712</v>
      </c>
      <c r="B56">
        <v>7638</v>
      </c>
      <c r="C56">
        <v>6659</v>
      </c>
      <c r="D56">
        <f t="shared" si="0"/>
        <v>979</v>
      </c>
      <c r="E56">
        <v>998</v>
      </c>
      <c r="F56">
        <v>26</v>
      </c>
      <c r="G56">
        <v>2</v>
      </c>
      <c r="H56">
        <f t="shared" si="1"/>
        <v>0.98059244126659861</v>
      </c>
      <c r="I56" s="8">
        <f t="shared" si="2"/>
        <v>0.02</v>
      </c>
    </row>
    <row r="57" spans="1:9" x14ac:dyDescent="0.35">
      <c r="A57" s="2">
        <v>45713</v>
      </c>
      <c r="B57">
        <v>5267</v>
      </c>
      <c r="C57">
        <v>4333</v>
      </c>
      <c r="D57">
        <f t="shared" si="0"/>
        <v>934</v>
      </c>
      <c r="E57">
        <v>891</v>
      </c>
      <c r="F57">
        <v>15</v>
      </c>
      <c r="G57">
        <v>3</v>
      </c>
      <c r="H57">
        <f t="shared" si="1"/>
        <v>0.95396145610278371</v>
      </c>
      <c r="I57" s="8">
        <f t="shared" si="2"/>
        <v>0.03</v>
      </c>
    </row>
    <row r="58" spans="1:9" x14ac:dyDescent="0.35">
      <c r="A58" s="2">
        <v>45714</v>
      </c>
      <c r="B58">
        <v>6879</v>
      </c>
      <c r="C58">
        <v>6731</v>
      </c>
      <c r="D58">
        <f t="shared" si="0"/>
        <v>148</v>
      </c>
      <c r="E58">
        <v>-7</v>
      </c>
      <c r="F58">
        <v>15</v>
      </c>
      <c r="G58">
        <v>0</v>
      </c>
      <c r="H58">
        <f t="shared" si="1"/>
        <v>-4.7297297297297369E-2</v>
      </c>
      <c r="I58" s="8">
        <f t="shared" si="2"/>
        <v>0</v>
      </c>
    </row>
    <row r="59" spans="1:9" x14ac:dyDescent="0.35">
      <c r="A59" s="2">
        <v>45715</v>
      </c>
      <c r="B59">
        <v>5528</v>
      </c>
      <c r="C59">
        <v>5711</v>
      </c>
      <c r="D59">
        <f t="shared" si="0"/>
        <v>-183</v>
      </c>
      <c r="E59">
        <v>-11</v>
      </c>
      <c r="F59">
        <v>27</v>
      </c>
      <c r="G59">
        <v>1</v>
      </c>
      <c r="H59">
        <f t="shared" si="1"/>
        <v>6.0109289617486295E-2</v>
      </c>
      <c r="I59" s="8">
        <f t="shared" si="2"/>
        <v>0.01</v>
      </c>
    </row>
    <row r="60" spans="1:9" x14ac:dyDescent="0.35">
      <c r="A60" s="2">
        <v>45716</v>
      </c>
      <c r="B60">
        <v>7202</v>
      </c>
      <c r="C60">
        <v>6002</v>
      </c>
      <c r="D60">
        <f t="shared" si="0"/>
        <v>1200</v>
      </c>
      <c r="E60">
        <v>1005</v>
      </c>
      <c r="F60">
        <v>17</v>
      </c>
      <c r="G60">
        <v>0</v>
      </c>
      <c r="H60">
        <f t="shared" si="1"/>
        <v>0.83750000000000002</v>
      </c>
      <c r="I60" s="8">
        <f t="shared" si="2"/>
        <v>0</v>
      </c>
    </row>
    <row r="61" spans="1:9" x14ac:dyDescent="0.35">
      <c r="A61" s="2">
        <v>45717</v>
      </c>
      <c r="B61">
        <v>7556</v>
      </c>
      <c r="C61">
        <v>6808</v>
      </c>
      <c r="D61">
        <f t="shared" si="0"/>
        <v>748</v>
      </c>
      <c r="E61">
        <v>646</v>
      </c>
      <c r="F61">
        <v>25</v>
      </c>
      <c r="G61">
        <v>0</v>
      </c>
      <c r="H61">
        <f t="shared" si="1"/>
        <v>0.86363636363636365</v>
      </c>
      <c r="I61" s="8">
        <f t="shared" si="2"/>
        <v>0</v>
      </c>
    </row>
    <row r="62" spans="1:9" x14ac:dyDescent="0.35">
      <c r="A62" s="2">
        <v>45718</v>
      </c>
      <c r="B62">
        <v>7890</v>
      </c>
      <c r="C62">
        <v>6548</v>
      </c>
      <c r="D62">
        <f t="shared" si="0"/>
        <v>1342</v>
      </c>
      <c r="E62">
        <v>1521</v>
      </c>
      <c r="F62">
        <v>19</v>
      </c>
      <c r="G62">
        <v>0</v>
      </c>
      <c r="H62">
        <f t="shared" si="1"/>
        <v>0.8666169895678093</v>
      </c>
      <c r="I62" s="8">
        <f t="shared" si="2"/>
        <v>0</v>
      </c>
    </row>
    <row r="63" spans="1:9" x14ac:dyDescent="0.35">
      <c r="A63" s="2">
        <v>45719</v>
      </c>
      <c r="B63">
        <v>4646</v>
      </c>
      <c r="C63">
        <v>3889</v>
      </c>
      <c r="D63">
        <f t="shared" si="0"/>
        <v>757</v>
      </c>
      <c r="E63">
        <v>789</v>
      </c>
      <c r="F63">
        <v>26</v>
      </c>
      <c r="G63">
        <v>4</v>
      </c>
      <c r="H63">
        <f t="shared" si="1"/>
        <v>0.95772787318361952</v>
      </c>
      <c r="I63" s="8">
        <f t="shared" si="2"/>
        <v>0.04</v>
      </c>
    </row>
    <row r="64" spans="1:9" x14ac:dyDescent="0.35">
      <c r="A64" s="2">
        <v>45720</v>
      </c>
      <c r="B64">
        <v>6068</v>
      </c>
      <c r="C64">
        <v>5885</v>
      </c>
      <c r="D64">
        <f t="shared" si="0"/>
        <v>183</v>
      </c>
      <c r="E64">
        <v>19</v>
      </c>
      <c r="F64">
        <v>17</v>
      </c>
      <c r="G64">
        <v>2</v>
      </c>
      <c r="H64">
        <f t="shared" si="1"/>
        <v>0.10382513661202186</v>
      </c>
      <c r="I64" s="8">
        <f t="shared" si="2"/>
        <v>0.02</v>
      </c>
    </row>
    <row r="65" spans="1:9" x14ac:dyDescent="0.35">
      <c r="A65" s="2">
        <v>45721</v>
      </c>
      <c r="B65">
        <v>6888</v>
      </c>
      <c r="C65">
        <v>6725</v>
      </c>
      <c r="D65">
        <f t="shared" si="0"/>
        <v>163</v>
      </c>
      <c r="E65">
        <v>242</v>
      </c>
      <c r="F65">
        <v>15</v>
      </c>
      <c r="G65">
        <v>0</v>
      </c>
      <c r="H65">
        <f t="shared" si="1"/>
        <v>0.51533742331288346</v>
      </c>
      <c r="I65" s="8">
        <f t="shared" si="2"/>
        <v>0</v>
      </c>
    </row>
    <row r="66" spans="1:9" x14ac:dyDescent="0.35">
      <c r="A66" s="2">
        <v>45722</v>
      </c>
      <c r="B66">
        <v>6214</v>
      </c>
      <c r="C66">
        <v>4716</v>
      </c>
      <c r="D66">
        <f t="shared" si="0"/>
        <v>1498</v>
      </c>
      <c r="E66">
        <v>1646</v>
      </c>
      <c r="F66">
        <v>15</v>
      </c>
      <c r="G66">
        <v>2</v>
      </c>
      <c r="H66">
        <f t="shared" si="1"/>
        <v>0.90120160213618161</v>
      </c>
      <c r="I66" s="8">
        <f t="shared" si="2"/>
        <v>0.02</v>
      </c>
    </row>
    <row r="67" spans="1:9" x14ac:dyDescent="0.35">
      <c r="A67" s="2">
        <v>45723</v>
      </c>
      <c r="B67">
        <v>5297</v>
      </c>
      <c r="C67">
        <v>3947</v>
      </c>
      <c r="D67">
        <f t="shared" ref="D67:D130" si="3">B67-C67</f>
        <v>1350</v>
      </c>
      <c r="E67">
        <v>1451</v>
      </c>
      <c r="F67">
        <v>22</v>
      </c>
      <c r="G67">
        <v>3</v>
      </c>
      <c r="H67">
        <f t="shared" ref="H67:H130" si="4">1-ABS((D67-E67)/ABS(D67))</f>
        <v>0.92518518518518522</v>
      </c>
      <c r="I67" s="8">
        <f t="shared" ref="I67:I130" si="5">G67/100</f>
        <v>0.03</v>
      </c>
    </row>
    <row r="68" spans="1:9" x14ac:dyDescent="0.35">
      <c r="A68" s="2">
        <v>45724</v>
      </c>
      <c r="B68">
        <v>6435</v>
      </c>
      <c r="C68">
        <v>5538</v>
      </c>
      <c r="D68">
        <f t="shared" si="3"/>
        <v>897</v>
      </c>
      <c r="E68">
        <v>877</v>
      </c>
      <c r="F68">
        <v>24</v>
      </c>
      <c r="G68">
        <v>1</v>
      </c>
      <c r="H68">
        <f t="shared" si="4"/>
        <v>0.97770345596432551</v>
      </c>
      <c r="I68" s="8">
        <f t="shared" si="5"/>
        <v>0.01</v>
      </c>
    </row>
    <row r="69" spans="1:9" x14ac:dyDescent="0.35">
      <c r="A69" s="2">
        <v>45725</v>
      </c>
      <c r="B69">
        <v>4600</v>
      </c>
      <c r="C69">
        <v>3405</v>
      </c>
      <c r="D69">
        <f t="shared" si="3"/>
        <v>1195</v>
      </c>
      <c r="E69">
        <v>1089</v>
      </c>
      <c r="F69">
        <v>25</v>
      </c>
      <c r="G69">
        <v>3</v>
      </c>
      <c r="H69">
        <f t="shared" si="4"/>
        <v>0.91129707112970715</v>
      </c>
      <c r="I69" s="8">
        <f t="shared" si="5"/>
        <v>0.03</v>
      </c>
    </row>
    <row r="70" spans="1:9" x14ac:dyDescent="0.35">
      <c r="A70" s="2">
        <v>45726</v>
      </c>
      <c r="B70">
        <v>6363</v>
      </c>
      <c r="C70">
        <v>5232</v>
      </c>
      <c r="D70">
        <f t="shared" si="3"/>
        <v>1131</v>
      </c>
      <c r="E70">
        <v>1029</v>
      </c>
      <c r="F70">
        <v>26</v>
      </c>
      <c r="G70">
        <v>3</v>
      </c>
      <c r="H70">
        <f t="shared" si="4"/>
        <v>0.90981432360742709</v>
      </c>
      <c r="I70" s="8">
        <f t="shared" si="5"/>
        <v>0.03</v>
      </c>
    </row>
    <row r="71" spans="1:9" x14ac:dyDescent="0.35">
      <c r="A71" s="2">
        <v>45727</v>
      </c>
      <c r="B71">
        <v>6061</v>
      </c>
      <c r="C71">
        <v>5066</v>
      </c>
      <c r="D71">
        <f t="shared" si="3"/>
        <v>995</v>
      </c>
      <c r="E71">
        <v>982</v>
      </c>
      <c r="F71">
        <v>27</v>
      </c>
      <c r="G71">
        <v>4</v>
      </c>
      <c r="H71">
        <f t="shared" si="4"/>
        <v>0.98693467336683416</v>
      </c>
      <c r="I71" s="8">
        <f t="shared" si="5"/>
        <v>0.04</v>
      </c>
    </row>
    <row r="72" spans="1:9" x14ac:dyDescent="0.35">
      <c r="A72" s="2">
        <v>45728</v>
      </c>
      <c r="B72">
        <v>4241</v>
      </c>
      <c r="C72">
        <v>3485</v>
      </c>
      <c r="D72">
        <f t="shared" si="3"/>
        <v>756</v>
      </c>
      <c r="E72">
        <v>671</v>
      </c>
      <c r="F72">
        <v>27</v>
      </c>
      <c r="G72">
        <v>1</v>
      </c>
      <c r="H72">
        <f t="shared" si="4"/>
        <v>0.88756613756613756</v>
      </c>
      <c r="I72" s="8">
        <f t="shared" si="5"/>
        <v>0.01</v>
      </c>
    </row>
    <row r="73" spans="1:9" x14ac:dyDescent="0.35">
      <c r="A73" s="2">
        <v>45729</v>
      </c>
      <c r="B73">
        <v>6041</v>
      </c>
      <c r="C73">
        <v>4826</v>
      </c>
      <c r="D73">
        <f t="shared" si="3"/>
        <v>1215</v>
      </c>
      <c r="E73">
        <v>1205</v>
      </c>
      <c r="F73">
        <v>26</v>
      </c>
      <c r="G73">
        <v>3</v>
      </c>
      <c r="H73">
        <f t="shared" si="4"/>
        <v>0.99176954732510292</v>
      </c>
      <c r="I73" s="8">
        <f t="shared" si="5"/>
        <v>0.03</v>
      </c>
    </row>
    <row r="74" spans="1:9" x14ac:dyDescent="0.35">
      <c r="A74" s="2">
        <v>45730</v>
      </c>
      <c r="B74">
        <v>6824</v>
      </c>
      <c r="C74">
        <v>6188</v>
      </c>
      <c r="D74">
        <f t="shared" si="3"/>
        <v>636</v>
      </c>
      <c r="E74">
        <v>688</v>
      </c>
      <c r="F74">
        <v>29</v>
      </c>
      <c r="G74">
        <v>3</v>
      </c>
      <c r="H74">
        <f t="shared" si="4"/>
        <v>0.91823899371069184</v>
      </c>
      <c r="I74" s="8">
        <f t="shared" si="5"/>
        <v>0.03</v>
      </c>
    </row>
    <row r="75" spans="1:9" x14ac:dyDescent="0.35">
      <c r="A75" s="2">
        <v>45731</v>
      </c>
      <c r="B75">
        <v>7417</v>
      </c>
      <c r="C75">
        <v>6064</v>
      </c>
      <c r="D75">
        <f t="shared" si="3"/>
        <v>1353</v>
      </c>
      <c r="E75">
        <v>1313</v>
      </c>
      <c r="F75">
        <v>28</v>
      </c>
      <c r="G75">
        <v>1</v>
      </c>
      <c r="H75">
        <f t="shared" si="4"/>
        <v>0.97043606799704363</v>
      </c>
      <c r="I75" s="8">
        <f t="shared" si="5"/>
        <v>0.01</v>
      </c>
    </row>
    <row r="76" spans="1:9" x14ac:dyDescent="0.35">
      <c r="A76" s="2">
        <v>45732</v>
      </c>
      <c r="B76">
        <v>6612</v>
      </c>
      <c r="C76">
        <v>5592</v>
      </c>
      <c r="D76">
        <f t="shared" si="3"/>
        <v>1020</v>
      </c>
      <c r="E76">
        <v>1075</v>
      </c>
      <c r="F76">
        <v>16</v>
      </c>
      <c r="G76">
        <v>1</v>
      </c>
      <c r="H76">
        <f t="shared" si="4"/>
        <v>0.94607843137254899</v>
      </c>
      <c r="I76" s="8">
        <f t="shared" si="5"/>
        <v>0.01</v>
      </c>
    </row>
    <row r="77" spans="1:9" x14ac:dyDescent="0.35">
      <c r="A77" s="2">
        <v>45733</v>
      </c>
      <c r="B77">
        <v>6945</v>
      </c>
      <c r="C77">
        <v>7004</v>
      </c>
      <c r="D77">
        <f t="shared" si="3"/>
        <v>-59</v>
      </c>
      <c r="E77">
        <v>63</v>
      </c>
      <c r="F77">
        <v>27</v>
      </c>
      <c r="G77">
        <v>3</v>
      </c>
      <c r="H77">
        <f t="shared" si="4"/>
        <v>-1.0677966101694913</v>
      </c>
      <c r="I77" s="8">
        <f t="shared" si="5"/>
        <v>0.03</v>
      </c>
    </row>
    <row r="78" spans="1:9" x14ac:dyDescent="0.35">
      <c r="A78" s="2">
        <v>45734</v>
      </c>
      <c r="B78">
        <v>5363</v>
      </c>
      <c r="C78">
        <v>5300</v>
      </c>
      <c r="D78">
        <f t="shared" si="3"/>
        <v>63</v>
      </c>
      <c r="E78">
        <v>-10</v>
      </c>
      <c r="F78">
        <v>17</v>
      </c>
      <c r="G78">
        <v>1</v>
      </c>
      <c r="H78">
        <f t="shared" si="4"/>
        <v>-0.15873015873015883</v>
      </c>
      <c r="I78" s="8">
        <f t="shared" si="5"/>
        <v>0.01</v>
      </c>
    </row>
    <row r="79" spans="1:9" x14ac:dyDescent="0.35">
      <c r="A79" s="2">
        <v>45735</v>
      </c>
      <c r="B79">
        <v>6139</v>
      </c>
      <c r="C79">
        <v>5348</v>
      </c>
      <c r="D79">
        <f t="shared" si="3"/>
        <v>791</v>
      </c>
      <c r="E79">
        <v>608</v>
      </c>
      <c r="F79">
        <v>16</v>
      </c>
      <c r="G79">
        <v>3</v>
      </c>
      <c r="H79">
        <f t="shared" si="4"/>
        <v>0.76864728192161824</v>
      </c>
      <c r="I79" s="8">
        <f t="shared" si="5"/>
        <v>0.03</v>
      </c>
    </row>
    <row r="80" spans="1:9" x14ac:dyDescent="0.35">
      <c r="A80" s="2">
        <v>45736</v>
      </c>
      <c r="B80">
        <v>5390</v>
      </c>
      <c r="C80">
        <v>4357</v>
      </c>
      <c r="D80">
        <f t="shared" si="3"/>
        <v>1033</v>
      </c>
      <c r="E80">
        <v>1113</v>
      </c>
      <c r="F80">
        <v>17</v>
      </c>
      <c r="G80">
        <v>3</v>
      </c>
      <c r="H80">
        <f t="shared" si="4"/>
        <v>0.92255566311713455</v>
      </c>
      <c r="I80" s="8">
        <f t="shared" si="5"/>
        <v>0.03</v>
      </c>
    </row>
    <row r="81" spans="1:9" x14ac:dyDescent="0.35">
      <c r="A81" s="2">
        <v>45737</v>
      </c>
      <c r="B81">
        <v>7003</v>
      </c>
      <c r="C81">
        <v>5673</v>
      </c>
      <c r="D81">
        <f t="shared" si="3"/>
        <v>1330</v>
      </c>
      <c r="E81">
        <v>1352</v>
      </c>
      <c r="F81">
        <v>21</v>
      </c>
      <c r="G81">
        <v>4</v>
      </c>
      <c r="H81">
        <f t="shared" si="4"/>
        <v>0.98345864661654137</v>
      </c>
      <c r="I81" s="8">
        <f t="shared" si="5"/>
        <v>0.04</v>
      </c>
    </row>
    <row r="82" spans="1:9" x14ac:dyDescent="0.35">
      <c r="A82" s="2">
        <v>45738</v>
      </c>
      <c r="B82">
        <v>5478</v>
      </c>
      <c r="C82">
        <v>4569</v>
      </c>
      <c r="D82">
        <f t="shared" si="3"/>
        <v>909</v>
      </c>
      <c r="E82">
        <v>762</v>
      </c>
      <c r="F82">
        <v>15</v>
      </c>
      <c r="G82">
        <v>0</v>
      </c>
      <c r="H82">
        <f t="shared" si="4"/>
        <v>0.83828382838283833</v>
      </c>
      <c r="I82" s="8">
        <f t="shared" si="5"/>
        <v>0</v>
      </c>
    </row>
    <row r="83" spans="1:9" x14ac:dyDescent="0.35">
      <c r="A83" s="2">
        <v>45739</v>
      </c>
      <c r="B83">
        <v>7499</v>
      </c>
      <c r="C83">
        <v>6589</v>
      </c>
      <c r="D83">
        <f t="shared" si="3"/>
        <v>910</v>
      </c>
      <c r="E83">
        <v>767</v>
      </c>
      <c r="F83">
        <v>24</v>
      </c>
      <c r="G83">
        <v>3</v>
      </c>
      <c r="H83">
        <f t="shared" si="4"/>
        <v>0.84285714285714286</v>
      </c>
      <c r="I83" s="8">
        <f t="shared" si="5"/>
        <v>0.03</v>
      </c>
    </row>
    <row r="84" spans="1:9" x14ac:dyDescent="0.35">
      <c r="A84" s="2">
        <v>45740</v>
      </c>
      <c r="B84">
        <v>6556</v>
      </c>
      <c r="C84">
        <v>5920</v>
      </c>
      <c r="D84">
        <f t="shared" si="3"/>
        <v>636</v>
      </c>
      <c r="E84">
        <v>758</v>
      </c>
      <c r="F84">
        <v>22</v>
      </c>
      <c r="G84">
        <v>2</v>
      </c>
      <c r="H84">
        <f t="shared" si="4"/>
        <v>0.80817610062893075</v>
      </c>
      <c r="I84" s="8">
        <f t="shared" si="5"/>
        <v>0.02</v>
      </c>
    </row>
    <row r="85" spans="1:9" x14ac:dyDescent="0.35">
      <c r="A85" s="2">
        <v>45741</v>
      </c>
      <c r="B85">
        <v>4775</v>
      </c>
      <c r="C85">
        <v>3639</v>
      </c>
      <c r="D85">
        <f t="shared" si="3"/>
        <v>1136</v>
      </c>
      <c r="E85">
        <v>1295</v>
      </c>
      <c r="F85">
        <v>27</v>
      </c>
      <c r="G85">
        <v>0</v>
      </c>
      <c r="H85">
        <f t="shared" si="4"/>
        <v>0.86003521126760563</v>
      </c>
      <c r="I85" s="8">
        <f t="shared" si="5"/>
        <v>0</v>
      </c>
    </row>
    <row r="86" spans="1:9" x14ac:dyDescent="0.35">
      <c r="A86" s="2">
        <v>45742</v>
      </c>
      <c r="B86">
        <v>4034</v>
      </c>
      <c r="C86">
        <v>2886</v>
      </c>
      <c r="D86">
        <f t="shared" si="3"/>
        <v>1148</v>
      </c>
      <c r="E86">
        <v>1121</v>
      </c>
      <c r="F86">
        <v>24</v>
      </c>
      <c r="G86">
        <v>0</v>
      </c>
      <c r="H86">
        <f t="shared" si="4"/>
        <v>0.97648083623693382</v>
      </c>
      <c r="I86" s="8">
        <f t="shared" si="5"/>
        <v>0</v>
      </c>
    </row>
    <row r="87" spans="1:9" x14ac:dyDescent="0.35">
      <c r="A87" s="2">
        <v>45743</v>
      </c>
      <c r="B87">
        <v>6253</v>
      </c>
      <c r="C87">
        <v>5802</v>
      </c>
      <c r="D87">
        <f t="shared" si="3"/>
        <v>451</v>
      </c>
      <c r="E87">
        <v>530</v>
      </c>
      <c r="F87">
        <v>24</v>
      </c>
      <c r="G87">
        <v>0</v>
      </c>
      <c r="H87">
        <f t="shared" si="4"/>
        <v>0.82483370288248337</v>
      </c>
      <c r="I87" s="8">
        <f t="shared" si="5"/>
        <v>0</v>
      </c>
    </row>
    <row r="88" spans="1:9" x14ac:dyDescent="0.35">
      <c r="A88" s="2">
        <v>45744</v>
      </c>
      <c r="B88">
        <v>7152</v>
      </c>
      <c r="C88">
        <v>6548</v>
      </c>
      <c r="D88">
        <f t="shared" si="3"/>
        <v>604</v>
      </c>
      <c r="E88">
        <v>517</v>
      </c>
      <c r="F88">
        <v>24</v>
      </c>
      <c r="G88">
        <v>4</v>
      </c>
      <c r="H88">
        <f t="shared" si="4"/>
        <v>0.85596026490066224</v>
      </c>
      <c r="I88" s="8">
        <f t="shared" si="5"/>
        <v>0.04</v>
      </c>
    </row>
    <row r="89" spans="1:9" x14ac:dyDescent="0.35">
      <c r="A89" s="2">
        <v>45745</v>
      </c>
      <c r="B89">
        <v>5955</v>
      </c>
      <c r="C89">
        <v>5757</v>
      </c>
      <c r="D89">
        <f t="shared" si="3"/>
        <v>198</v>
      </c>
      <c r="E89">
        <v>285</v>
      </c>
      <c r="F89">
        <v>28</v>
      </c>
      <c r="G89">
        <v>3</v>
      </c>
      <c r="H89">
        <f t="shared" si="4"/>
        <v>0.56060606060606055</v>
      </c>
      <c r="I89" s="8">
        <f t="shared" si="5"/>
        <v>0.03</v>
      </c>
    </row>
    <row r="90" spans="1:9" x14ac:dyDescent="0.35">
      <c r="A90" s="2">
        <v>45746</v>
      </c>
      <c r="B90">
        <v>5585</v>
      </c>
      <c r="C90">
        <v>5973</v>
      </c>
      <c r="D90">
        <f t="shared" si="3"/>
        <v>-388</v>
      </c>
      <c r="E90">
        <v>-247</v>
      </c>
      <c r="F90">
        <v>16</v>
      </c>
      <c r="G90">
        <v>4</v>
      </c>
      <c r="H90">
        <f t="shared" si="4"/>
        <v>0.63659793814432986</v>
      </c>
      <c r="I90" s="8">
        <f t="shared" si="5"/>
        <v>0.04</v>
      </c>
    </row>
    <row r="91" spans="1:9" x14ac:dyDescent="0.35">
      <c r="A91" s="2">
        <v>45747</v>
      </c>
      <c r="B91">
        <v>7943</v>
      </c>
      <c r="C91">
        <v>8442</v>
      </c>
      <c r="D91">
        <f t="shared" si="3"/>
        <v>-499</v>
      </c>
      <c r="E91">
        <v>-549</v>
      </c>
      <c r="F91">
        <v>17</v>
      </c>
      <c r="G91">
        <v>3</v>
      </c>
      <c r="H91">
        <f t="shared" si="4"/>
        <v>0.8997995991983968</v>
      </c>
      <c r="I91" s="8">
        <f t="shared" si="5"/>
        <v>0.03</v>
      </c>
    </row>
    <row r="92" spans="1:9" x14ac:dyDescent="0.35">
      <c r="A92" s="2">
        <v>45748</v>
      </c>
      <c r="B92">
        <v>7459</v>
      </c>
      <c r="C92">
        <v>7318</v>
      </c>
      <c r="D92">
        <f t="shared" si="3"/>
        <v>141</v>
      </c>
      <c r="E92">
        <v>67</v>
      </c>
      <c r="F92">
        <v>23</v>
      </c>
      <c r="G92">
        <v>4</v>
      </c>
      <c r="H92">
        <f t="shared" si="4"/>
        <v>0.47517730496453903</v>
      </c>
      <c r="I92" s="8">
        <f t="shared" si="5"/>
        <v>0.04</v>
      </c>
    </row>
    <row r="93" spans="1:9" x14ac:dyDescent="0.35">
      <c r="A93" s="2">
        <v>45749</v>
      </c>
      <c r="B93">
        <v>7073</v>
      </c>
      <c r="C93">
        <v>7354</v>
      </c>
      <c r="D93">
        <f t="shared" si="3"/>
        <v>-281</v>
      </c>
      <c r="E93">
        <v>-327</v>
      </c>
      <c r="F93">
        <v>21</v>
      </c>
      <c r="G93">
        <v>4</v>
      </c>
      <c r="H93">
        <f t="shared" si="4"/>
        <v>0.83629893238434161</v>
      </c>
      <c r="I93" s="8">
        <f t="shared" si="5"/>
        <v>0.04</v>
      </c>
    </row>
    <row r="94" spans="1:9" x14ac:dyDescent="0.35">
      <c r="A94" s="2">
        <v>45750</v>
      </c>
      <c r="B94">
        <v>5021</v>
      </c>
      <c r="C94">
        <v>3932</v>
      </c>
      <c r="D94">
        <f t="shared" si="3"/>
        <v>1089</v>
      </c>
      <c r="E94">
        <v>1274</v>
      </c>
      <c r="F94">
        <v>18</v>
      </c>
      <c r="G94">
        <v>2</v>
      </c>
      <c r="H94">
        <f t="shared" si="4"/>
        <v>0.83011937557392101</v>
      </c>
      <c r="I94" s="8">
        <f t="shared" si="5"/>
        <v>0.02</v>
      </c>
    </row>
    <row r="95" spans="1:9" x14ac:dyDescent="0.35">
      <c r="A95" s="2">
        <v>45751</v>
      </c>
      <c r="B95">
        <v>7461</v>
      </c>
      <c r="C95">
        <v>7107</v>
      </c>
      <c r="D95">
        <f t="shared" si="3"/>
        <v>354</v>
      </c>
      <c r="E95">
        <v>426</v>
      </c>
      <c r="F95">
        <v>24</v>
      </c>
      <c r="G95">
        <v>4</v>
      </c>
      <c r="H95">
        <f t="shared" si="4"/>
        <v>0.79661016949152541</v>
      </c>
      <c r="I95" s="8">
        <f t="shared" si="5"/>
        <v>0.04</v>
      </c>
    </row>
    <row r="96" spans="1:9" x14ac:dyDescent="0.35">
      <c r="A96" s="2">
        <v>45752</v>
      </c>
      <c r="B96">
        <v>6613</v>
      </c>
      <c r="C96">
        <v>5354</v>
      </c>
      <c r="D96">
        <f t="shared" si="3"/>
        <v>1259</v>
      </c>
      <c r="E96">
        <v>1162</v>
      </c>
      <c r="F96">
        <v>19</v>
      </c>
      <c r="G96">
        <v>1</v>
      </c>
      <c r="H96">
        <f t="shared" si="4"/>
        <v>0.92295472597299444</v>
      </c>
      <c r="I96" s="8">
        <f t="shared" si="5"/>
        <v>0.01</v>
      </c>
    </row>
    <row r="97" spans="1:9" x14ac:dyDescent="0.35">
      <c r="A97" s="2">
        <v>45753</v>
      </c>
      <c r="B97">
        <v>5129</v>
      </c>
      <c r="C97">
        <v>4381</v>
      </c>
      <c r="D97">
        <f t="shared" si="3"/>
        <v>748</v>
      </c>
      <c r="E97">
        <v>940</v>
      </c>
      <c r="F97">
        <v>16</v>
      </c>
      <c r="G97">
        <v>2</v>
      </c>
      <c r="H97">
        <f t="shared" si="4"/>
        <v>0.74331550802139035</v>
      </c>
      <c r="I97" s="8">
        <f t="shared" si="5"/>
        <v>0.02</v>
      </c>
    </row>
    <row r="98" spans="1:9" x14ac:dyDescent="0.35">
      <c r="A98" s="2">
        <v>45754</v>
      </c>
      <c r="B98">
        <v>7843</v>
      </c>
      <c r="C98">
        <v>7959</v>
      </c>
      <c r="D98">
        <f t="shared" si="3"/>
        <v>-116</v>
      </c>
      <c r="E98">
        <v>-18</v>
      </c>
      <c r="F98">
        <v>27</v>
      </c>
      <c r="G98">
        <v>4</v>
      </c>
      <c r="H98">
        <f t="shared" si="4"/>
        <v>0.15517241379310343</v>
      </c>
      <c r="I98" s="8">
        <f t="shared" si="5"/>
        <v>0.04</v>
      </c>
    </row>
    <row r="99" spans="1:9" x14ac:dyDescent="0.35">
      <c r="A99" s="2">
        <v>45755</v>
      </c>
      <c r="B99">
        <v>7893</v>
      </c>
      <c r="C99">
        <v>6967</v>
      </c>
      <c r="D99">
        <f t="shared" si="3"/>
        <v>926</v>
      </c>
      <c r="E99">
        <v>971</v>
      </c>
      <c r="F99">
        <v>25</v>
      </c>
      <c r="G99">
        <v>0</v>
      </c>
      <c r="H99">
        <f t="shared" si="4"/>
        <v>0.95140388768898487</v>
      </c>
      <c r="I99" s="8">
        <f t="shared" si="5"/>
        <v>0</v>
      </c>
    </row>
    <row r="100" spans="1:9" x14ac:dyDescent="0.35">
      <c r="A100" s="2">
        <v>45756</v>
      </c>
      <c r="B100">
        <v>5500</v>
      </c>
      <c r="C100">
        <v>4339</v>
      </c>
      <c r="D100">
        <f t="shared" si="3"/>
        <v>1161</v>
      </c>
      <c r="E100">
        <v>1136</v>
      </c>
      <c r="F100">
        <v>27</v>
      </c>
      <c r="G100">
        <v>1</v>
      </c>
      <c r="H100">
        <f t="shared" si="4"/>
        <v>0.97846683893195519</v>
      </c>
      <c r="I100" s="8">
        <f t="shared" si="5"/>
        <v>0.01</v>
      </c>
    </row>
    <row r="101" spans="1:9" x14ac:dyDescent="0.35">
      <c r="A101" s="2">
        <v>45757</v>
      </c>
      <c r="B101">
        <v>4702</v>
      </c>
      <c r="C101">
        <v>4049</v>
      </c>
      <c r="D101">
        <f t="shared" si="3"/>
        <v>653</v>
      </c>
      <c r="E101">
        <v>491</v>
      </c>
      <c r="F101">
        <v>22</v>
      </c>
      <c r="G101">
        <v>1</v>
      </c>
      <c r="H101">
        <f t="shared" si="4"/>
        <v>0.75191424196018375</v>
      </c>
      <c r="I101" s="8">
        <f t="shared" si="5"/>
        <v>0.01</v>
      </c>
    </row>
    <row r="102" spans="1:9" x14ac:dyDescent="0.35">
      <c r="A102" s="2">
        <v>45758</v>
      </c>
      <c r="B102">
        <v>6449</v>
      </c>
      <c r="C102">
        <v>5873</v>
      </c>
      <c r="D102">
        <f t="shared" si="3"/>
        <v>576</v>
      </c>
      <c r="E102">
        <v>545</v>
      </c>
      <c r="F102">
        <v>18</v>
      </c>
      <c r="G102">
        <v>1</v>
      </c>
      <c r="H102">
        <f t="shared" si="4"/>
        <v>0.94618055555555558</v>
      </c>
      <c r="I102" s="8">
        <f t="shared" si="5"/>
        <v>0.01</v>
      </c>
    </row>
    <row r="103" spans="1:9" x14ac:dyDescent="0.35">
      <c r="A103" s="2">
        <v>45759</v>
      </c>
      <c r="B103">
        <v>6777</v>
      </c>
      <c r="C103">
        <v>5570</v>
      </c>
      <c r="D103">
        <f t="shared" si="3"/>
        <v>1207</v>
      </c>
      <c r="E103">
        <v>1253</v>
      </c>
      <c r="F103">
        <v>23</v>
      </c>
      <c r="G103">
        <v>2</v>
      </c>
      <c r="H103">
        <f t="shared" si="4"/>
        <v>0.96188898094449049</v>
      </c>
      <c r="I103" s="8">
        <f t="shared" si="5"/>
        <v>0.02</v>
      </c>
    </row>
    <row r="104" spans="1:9" x14ac:dyDescent="0.35">
      <c r="A104" s="2">
        <v>45760</v>
      </c>
      <c r="B104">
        <v>5579</v>
      </c>
      <c r="C104">
        <v>5350</v>
      </c>
      <c r="D104">
        <f t="shared" si="3"/>
        <v>229</v>
      </c>
      <c r="E104">
        <v>54</v>
      </c>
      <c r="F104">
        <v>19</v>
      </c>
      <c r="G104">
        <v>4</v>
      </c>
      <c r="H104">
        <f t="shared" si="4"/>
        <v>0.23580786026200873</v>
      </c>
      <c r="I104" s="8">
        <f t="shared" si="5"/>
        <v>0.04</v>
      </c>
    </row>
    <row r="105" spans="1:9" x14ac:dyDescent="0.35">
      <c r="A105" s="2">
        <v>45761</v>
      </c>
      <c r="B105">
        <v>4161</v>
      </c>
      <c r="C105">
        <v>2966</v>
      </c>
      <c r="D105">
        <f t="shared" si="3"/>
        <v>1195</v>
      </c>
      <c r="E105">
        <v>1349</v>
      </c>
      <c r="F105">
        <v>27</v>
      </c>
      <c r="G105">
        <v>4</v>
      </c>
      <c r="H105">
        <f t="shared" si="4"/>
        <v>0.87112970711297066</v>
      </c>
      <c r="I105" s="8">
        <f t="shared" si="5"/>
        <v>0.04</v>
      </c>
    </row>
    <row r="106" spans="1:9" x14ac:dyDescent="0.35">
      <c r="A106" s="2">
        <v>45762</v>
      </c>
      <c r="B106">
        <v>4201</v>
      </c>
      <c r="C106">
        <v>2968</v>
      </c>
      <c r="D106">
        <f t="shared" si="3"/>
        <v>1233</v>
      </c>
      <c r="E106">
        <v>1338</v>
      </c>
      <c r="F106">
        <v>23</v>
      </c>
      <c r="G106">
        <v>0</v>
      </c>
      <c r="H106">
        <f t="shared" si="4"/>
        <v>0.91484184914841848</v>
      </c>
      <c r="I106" s="8">
        <f t="shared" si="5"/>
        <v>0</v>
      </c>
    </row>
    <row r="107" spans="1:9" x14ac:dyDescent="0.35">
      <c r="A107" s="2">
        <v>45763</v>
      </c>
      <c r="B107">
        <v>5981</v>
      </c>
      <c r="C107">
        <v>5042</v>
      </c>
      <c r="D107">
        <f t="shared" si="3"/>
        <v>939</v>
      </c>
      <c r="E107">
        <v>751</v>
      </c>
      <c r="F107">
        <v>18</v>
      </c>
      <c r="G107">
        <v>0</v>
      </c>
      <c r="H107">
        <f t="shared" si="4"/>
        <v>0.79978700745473907</v>
      </c>
      <c r="I107" s="8">
        <f t="shared" si="5"/>
        <v>0</v>
      </c>
    </row>
    <row r="108" spans="1:9" x14ac:dyDescent="0.35">
      <c r="A108" s="2">
        <v>45764</v>
      </c>
      <c r="B108">
        <v>4995</v>
      </c>
      <c r="C108">
        <v>5249</v>
      </c>
      <c r="D108">
        <f t="shared" si="3"/>
        <v>-254</v>
      </c>
      <c r="E108">
        <v>-139</v>
      </c>
      <c r="F108">
        <v>24</v>
      </c>
      <c r="G108">
        <v>1</v>
      </c>
      <c r="H108">
        <f t="shared" si="4"/>
        <v>0.547244094488189</v>
      </c>
      <c r="I108" s="8">
        <f t="shared" si="5"/>
        <v>0.01</v>
      </c>
    </row>
    <row r="109" spans="1:9" x14ac:dyDescent="0.35">
      <c r="A109" s="2">
        <v>45765</v>
      </c>
      <c r="B109">
        <v>6317</v>
      </c>
      <c r="C109">
        <v>5982</v>
      </c>
      <c r="D109">
        <f t="shared" si="3"/>
        <v>335</v>
      </c>
      <c r="E109">
        <v>525</v>
      </c>
      <c r="F109">
        <v>19</v>
      </c>
      <c r="G109">
        <v>0</v>
      </c>
      <c r="H109">
        <f t="shared" si="4"/>
        <v>0.43283582089552242</v>
      </c>
      <c r="I109" s="8">
        <f t="shared" si="5"/>
        <v>0</v>
      </c>
    </row>
    <row r="110" spans="1:9" x14ac:dyDescent="0.35">
      <c r="A110" s="2">
        <v>45766</v>
      </c>
      <c r="B110">
        <v>7934</v>
      </c>
      <c r="C110">
        <v>6972</v>
      </c>
      <c r="D110">
        <f t="shared" si="3"/>
        <v>962</v>
      </c>
      <c r="E110">
        <v>1074</v>
      </c>
      <c r="F110">
        <v>23</v>
      </c>
      <c r="G110">
        <v>2</v>
      </c>
      <c r="H110">
        <f t="shared" si="4"/>
        <v>0.88357588357588357</v>
      </c>
      <c r="I110" s="8">
        <f t="shared" si="5"/>
        <v>0.02</v>
      </c>
    </row>
    <row r="111" spans="1:9" x14ac:dyDescent="0.35">
      <c r="A111" s="2">
        <v>45767</v>
      </c>
      <c r="B111">
        <v>4815</v>
      </c>
      <c r="C111">
        <v>5113</v>
      </c>
      <c r="D111">
        <f t="shared" si="3"/>
        <v>-298</v>
      </c>
      <c r="E111">
        <v>-463</v>
      </c>
      <c r="F111">
        <v>22</v>
      </c>
      <c r="G111">
        <v>4</v>
      </c>
      <c r="H111">
        <f t="shared" si="4"/>
        <v>0.44630872483221473</v>
      </c>
      <c r="I111" s="8">
        <f t="shared" si="5"/>
        <v>0.04</v>
      </c>
    </row>
    <row r="112" spans="1:9" x14ac:dyDescent="0.35">
      <c r="A112" s="2">
        <v>45768</v>
      </c>
      <c r="B112">
        <v>7342</v>
      </c>
      <c r="C112">
        <v>6635</v>
      </c>
      <c r="D112">
        <f t="shared" si="3"/>
        <v>707</v>
      </c>
      <c r="E112">
        <v>679</v>
      </c>
      <c r="F112">
        <v>17</v>
      </c>
      <c r="G112">
        <v>1</v>
      </c>
      <c r="H112">
        <f t="shared" si="4"/>
        <v>0.96039603960396036</v>
      </c>
      <c r="I112" s="8">
        <f t="shared" si="5"/>
        <v>0.01</v>
      </c>
    </row>
    <row r="113" spans="1:9" x14ac:dyDescent="0.35">
      <c r="A113" s="2">
        <v>45769</v>
      </c>
      <c r="B113">
        <v>4455</v>
      </c>
      <c r="C113">
        <v>4833</v>
      </c>
      <c r="D113">
        <f t="shared" si="3"/>
        <v>-378</v>
      </c>
      <c r="E113">
        <v>-559</v>
      </c>
      <c r="F113">
        <v>15</v>
      </c>
      <c r="G113">
        <v>0</v>
      </c>
      <c r="H113">
        <f t="shared" si="4"/>
        <v>0.52116402116402116</v>
      </c>
      <c r="I113" s="8">
        <f t="shared" si="5"/>
        <v>0</v>
      </c>
    </row>
    <row r="114" spans="1:9" x14ac:dyDescent="0.35">
      <c r="A114" s="2">
        <v>45770</v>
      </c>
      <c r="B114">
        <v>7533</v>
      </c>
      <c r="C114">
        <v>7633</v>
      </c>
      <c r="D114">
        <f t="shared" si="3"/>
        <v>-100</v>
      </c>
      <c r="E114">
        <v>20</v>
      </c>
      <c r="F114">
        <v>17</v>
      </c>
      <c r="G114">
        <v>2</v>
      </c>
      <c r="H114">
        <f t="shared" si="4"/>
        <v>-0.19999999999999996</v>
      </c>
      <c r="I114" s="8">
        <f t="shared" si="5"/>
        <v>0.02</v>
      </c>
    </row>
    <row r="115" spans="1:9" x14ac:dyDescent="0.35">
      <c r="A115" s="2">
        <v>45771</v>
      </c>
      <c r="B115">
        <v>7798</v>
      </c>
      <c r="C115">
        <v>7532</v>
      </c>
      <c r="D115">
        <f t="shared" si="3"/>
        <v>266</v>
      </c>
      <c r="E115">
        <v>329</v>
      </c>
      <c r="F115">
        <v>18</v>
      </c>
      <c r="G115">
        <v>2</v>
      </c>
      <c r="H115">
        <f t="shared" si="4"/>
        <v>0.76315789473684215</v>
      </c>
      <c r="I115" s="8">
        <f t="shared" si="5"/>
        <v>0.02</v>
      </c>
    </row>
    <row r="116" spans="1:9" x14ac:dyDescent="0.35">
      <c r="A116" s="2">
        <v>45772</v>
      </c>
      <c r="B116">
        <v>5275</v>
      </c>
      <c r="C116">
        <v>5482</v>
      </c>
      <c r="D116">
        <f t="shared" si="3"/>
        <v>-207</v>
      </c>
      <c r="E116">
        <v>-8</v>
      </c>
      <c r="F116">
        <v>16</v>
      </c>
      <c r="G116">
        <v>0</v>
      </c>
      <c r="H116">
        <f t="shared" si="4"/>
        <v>3.8647342995169032E-2</v>
      </c>
      <c r="I116" s="8">
        <f t="shared" si="5"/>
        <v>0</v>
      </c>
    </row>
    <row r="117" spans="1:9" x14ac:dyDescent="0.35">
      <c r="A117" s="2">
        <v>45773</v>
      </c>
      <c r="B117">
        <v>5016</v>
      </c>
      <c r="C117">
        <v>5237</v>
      </c>
      <c r="D117">
        <f t="shared" si="3"/>
        <v>-221</v>
      </c>
      <c r="E117">
        <v>-280</v>
      </c>
      <c r="F117">
        <v>15</v>
      </c>
      <c r="G117">
        <v>4</v>
      </c>
      <c r="H117">
        <f t="shared" si="4"/>
        <v>0.73303167420814486</v>
      </c>
      <c r="I117" s="8">
        <f t="shared" si="5"/>
        <v>0.04</v>
      </c>
    </row>
    <row r="118" spans="1:9" x14ac:dyDescent="0.35">
      <c r="A118" s="2">
        <v>45774</v>
      </c>
      <c r="B118">
        <v>7773</v>
      </c>
      <c r="C118">
        <v>6413</v>
      </c>
      <c r="D118">
        <f t="shared" si="3"/>
        <v>1360</v>
      </c>
      <c r="E118">
        <v>1530</v>
      </c>
      <c r="F118">
        <v>21</v>
      </c>
      <c r="G118">
        <v>0</v>
      </c>
      <c r="H118">
        <f t="shared" si="4"/>
        <v>0.875</v>
      </c>
      <c r="I118" s="8">
        <f t="shared" si="5"/>
        <v>0</v>
      </c>
    </row>
    <row r="119" spans="1:9" x14ac:dyDescent="0.35">
      <c r="A119" s="2">
        <v>45775</v>
      </c>
      <c r="B119">
        <v>6343</v>
      </c>
      <c r="C119">
        <v>5960</v>
      </c>
      <c r="D119">
        <f t="shared" si="3"/>
        <v>383</v>
      </c>
      <c r="E119">
        <v>325</v>
      </c>
      <c r="F119">
        <v>22</v>
      </c>
      <c r="G119">
        <v>1</v>
      </c>
      <c r="H119">
        <f t="shared" si="4"/>
        <v>0.84856396866840733</v>
      </c>
      <c r="I119" s="8">
        <f t="shared" si="5"/>
        <v>0.01</v>
      </c>
    </row>
    <row r="120" spans="1:9" x14ac:dyDescent="0.35">
      <c r="A120" s="2">
        <v>45776</v>
      </c>
      <c r="B120">
        <v>7796</v>
      </c>
      <c r="C120">
        <v>6663</v>
      </c>
      <c r="D120">
        <f t="shared" si="3"/>
        <v>1133</v>
      </c>
      <c r="E120">
        <v>1024</v>
      </c>
      <c r="F120">
        <v>21</v>
      </c>
      <c r="G120">
        <v>0</v>
      </c>
      <c r="H120">
        <f t="shared" si="4"/>
        <v>0.9037952338923213</v>
      </c>
      <c r="I120" s="8">
        <f t="shared" si="5"/>
        <v>0</v>
      </c>
    </row>
    <row r="121" spans="1:9" x14ac:dyDescent="0.35">
      <c r="A121" s="2">
        <v>45777</v>
      </c>
      <c r="B121">
        <v>6767</v>
      </c>
      <c r="C121">
        <v>7070</v>
      </c>
      <c r="D121">
        <f t="shared" si="3"/>
        <v>-303</v>
      </c>
      <c r="E121">
        <v>-150</v>
      </c>
      <c r="F121">
        <v>28</v>
      </c>
      <c r="G121">
        <v>2</v>
      </c>
      <c r="H121">
        <f t="shared" si="4"/>
        <v>0.49504950495049505</v>
      </c>
      <c r="I121" s="8">
        <f t="shared" si="5"/>
        <v>0.02</v>
      </c>
    </row>
    <row r="122" spans="1:9" x14ac:dyDescent="0.35">
      <c r="A122" s="2">
        <v>45778</v>
      </c>
      <c r="B122">
        <v>7820</v>
      </c>
      <c r="C122">
        <v>7339</v>
      </c>
      <c r="D122">
        <f t="shared" si="3"/>
        <v>481</v>
      </c>
      <c r="E122">
        <v>602</v>
      </c>
      <c r="F122">
        <v>19</v>
      </c>
      <c r="G122">
        <v>0</v>
      </c>
      <c r="H122">
        <f t="shared" si="4"/>
        <v>0.74844074844074848</v>
      </c>
      <c r="I122" s="8">
        <f t="shared" si="5"/>
        <v>0</v>
      </c>
    </row>
    <row r="123" spans="1:9" x14ac:dyDescent="0.35">
      <c r="A123" s="2">
        <v>45779</v>
      </c>
      <c r="B123">
        <v>4337</v>
      </c>
      <c r="C123">
        <v>2907</v>
      </c>
      <c r="D123">
        <f t="shared" si="3"/>
        <v>1430</v>
      </c>
      <c r="E123">
        <v>1517</v>
      </c>
      <c r="F123">
        <v>26</v>
      </c>
      <c r="G123">
        <v>4</v>
      </c>
      <c r="H123">
        <f t="shared" si="4"/>
        <v>0.93916083916083914</v>
      </c>
      <c r="I123" s="8">
        <f t="shared" si="5"/>
        <v>0.04</v>
      </c>
    </row>
    <row r="124" spans="1:9" x14ac:dyDescent="0.35">
      <c r="A124" s="2">
        <v>45780</v>
      </c>
      <c r="B124">
        <v>4878</v>
      </c>
      <c r="C124">
        <v>3844</v>
      </c>
      <c r="D124">
        <f t="shared" si="3"/>
        <v>1034</v>
      </c>
      <c r="E124">
        <v>1048</v>
      </c>
      <c r="F124">
        <v>15</v>
      </c>
      <c r="G124">
        <v>3</v>
      </c>
      <c r="H124">
        <f t="shared" si="4"/>
        <v>0.98646034816247585</v>
      </c>
      <c r="I124" s="8">
        <f t="shared" si="5"/>
        <v>0.03</v>
      </c>
    </row>
    <row r="125" spans="1:9" x14ac:dyDescent="0.35">
      <c r="A125" s="2">
        <v>45781</v>
      </c>
      <c r="B125">
        <v>5076</v>
      </c>
      <c r="C125">
        <v>4825</v>
      </c>
      <c r="D125">
        <f t="shared" si="3"/>
        <v>251</v>
      </c>
      <c r="E125">
        <v>392</v>
      </c>
      <c r="F125">
        <v>21</v>
      </c>
      <c r="G125">
        <v>0</v>
      </c>
      <c r="H125">
        <f t="shared" si="4"/>
        <v>0.43824701195219129</v>
      </c>
      <c r="I125" s="8">
        <f t="shared" si="5"/>
        <v>0</v>
      </c>
    </row>
    <row r="126" spans="1:9" x14ac:dyDescent="0.35">
      <c r="A126" s="2">
        <v>45782</v>
      </c>
      <c r="B126">
        <v>4791</v>
      </c>
      <c r="C126">
        <v>5148</v>
      </c>
      <c r="D126">
        <f t="shared" si="3"/>
        <v>-357</v>
      </c>
      <c r="E126">
        <v>-507</v>
      </c>
      <c r="F126">
        <v>27</v>
      </c>
      <c r="G126">
        <v>4</v>
      </c>
      <c r="H126">
        <f t="shared" si="4"/>
        <v>0.57983193277310918</v>
      </c>
      <c r="I126" s="8">
        <f t="shared" si="5"/>
        <v>0.04</v>
      </c>
    </row>
    <row r="127" spans="1:9" x14ac:dyDescent="0.35">
      <c r="A127" s="2">
        <v>45783</v>
      </c>
      <c r="B127">
        <v>7993</v>
      </c>
      <c r="C127">
        <v>7885</v>
      </c>
      <c r="D127">
        <f t="shared" si="3"/>
        <v>108</v>
      </c>
      <c r="E127">
        <v>60</v>
      </c>
      <c r="F127">
        <v>21</v>
      </c>
      <c r="G127">
        <v>4</v>
      </c>
      <c r="H127">
        <f t="shared" si="4"/>
        <v>0.55555555555555558</v>
      </c>
      <c r="I127" s="8">
        <f t="shared" si="5"/>
        <v>0.04</v>
      </c>
    </row>
    <row r="128" spans="1:9" x14ac:dyDescent="0.35">
      <c r="A128" s="2">
        <v>45784</v>
      </c>
      <c r="B128">
        <v>6264</v>
      </c>
      <c r="C128">
        <v>5540</v>
      </c>
      <c r="D128">
        <f t="shared" si="3"/>
        <v>724</v>
      </c>
      <c r="E128">
        <v>709</v>
      </c>
      <c r="F128">
        <v>23</v>
      </c>
      <c r="G128">
        <v>2</v>
      </c>
      <c r="H128">
        <f t="shared" si="4"/>
        <v>0.97928176795580113</v>
      </c>
      <c r="I128" s="8">
        <f t="shared" si="5"/>
        <v>0.02</v>
      </c>
    </row>
    <row r="129" spans="1:9" x14ac:dyDescent="0.35">
      <c r="A129" s="2">
        <v>45785</v>
      </c>
      <c r="B129">
        <v>4763</v>
      </c>
      <c r="C129">
        <v>4116</v>
      </c>
      <c r="D129">
        <f t="shared" si="3"/>
        <v>647</v>
      </c>
      <c r="E129">
        <v>509</v>
      </c>
      <c r="F129">
        <v>17</v>
      </c>
      <c r="G129">
        <v>4</v>
      </c>
      <c r="H129">
        <f t="shared" si="4"/>
        <v>0.78670788253477586</v>
      </c>
      <c r="I129" s="8">
        <f t="shared" si="5"/>
        <v>0.04</v>
      </c>
    </row>
    <row r="130" spans="1:9" x14ac:dyDescent="0.35">
      <c r="A130" s="2">
        <v>45786</v>
      </c>
      <c r="B130">
        <v>6235</v>
      </c>
      <c r="C130">
        <v>6549</v>
      </c>
      <c r="D130">
        <f t="shared" si="3"/>
        <v>-314</v>
      </c>
      <c r="E130">
        <v>-325</v>
      </c>
      <c r="F130">
        <v>23</v>
      </c>
      <c r="G130">
        <v>4</v>
      </c>
      <c r="H130">
        <f t="shared" si="4"/>
        <v>0.96496815286624205</v>
      </c>
      <c r="I130" s="8">
        <f t="shared" si="5"/>
        <v>0.04</v>
      </c>
    </row>
    <row r="131" spans="1:9" x14ac:dyDescent="0.35">
      <c r="A131" s="2">
        <v>45787</v>
      </c>
      <c r="B131">
        <v>4379</v>
      </c>
      <c r="C131">
        <v>3530</v>
      </c>
      <c r="D131">
        <f t="shared" ref="D131:D194" si="6">B131-C131</f>
        <v>849</v>
      </c>
      <c r="E131">
        <v>773</v>
      </c>
      <c r="F131">
        <v>28</v>
      </c>
      <c r="G131">
        <v>4</v>
      </c>
      <c r="H131">
        <f t="shared" ref="H131:H194" si="7">1-ABS((D131-E131)/ABS(D131))</f>
        <v>0.91048292108362783</v>
      </c>
      <c r="I131" s="8">
        <f t="shared" ref="I131:I194" si="8">G131/100</f>
        <v>0.04</v>
      </c>
    </row>
    <row r="132" spans="1:9" x14ac:dyDescent="0.35">
      <c r="A132" s="2">
        <v>45788</v>
      </c>
      <c r="B132">
        <v>4492</v>
      </c>
      <c r="C132">
        <v>4529</v>
      </c>
      <c r="D132">
        <f t="shared" si="6"/>
        <v>-37</v>
      </c>
      <c r="E132">
        <v>-88</v>
      </c>
      <c r="F132">
        <v>15</v>
      </c>
      <c r="G132">
        <v>4</v>
      </c>
      <c r="H132">
        <f t="shared" si="7"/>
        <v>-0.37837837837837829</v>
      </c>
      <c r="I132" s="8">
        <f t="shared" si="8"/>
        <v>0.04</v>
      </c>
    </row>
    <row r="133" spans="1:9" x14ac:dyDescent="0.35">
      <c r="A133" s="2">
        <v>45789</v>
      </c>
      <c r="B133">
        <v>7112</v>
      </c>
      <c r="C133">
        <v>6240</v>
      </c>
      <c r="D133">
        <f t="shared" si="6"/>
        <v>872</v>
      </c>
      <c r="E133">
        <v>985</v>
      </c>
      <c r="F133">
        <v>15</v>
      </c>
      <c r="G133">
        <v>1</v>
      </c>
      <c r="H133">
        <f t="shared" si="7"/>
        <v>0.87041284403669728</v>
      </c>
      <c r="I133" s="8">
        <f t="shared" si="8"/>
        <v>0.01</v>
      </c>
    </row>
    <row r="134" spans="1:9" x14ac:dyDescent="0.35">
      <c r="A134" s="2">
        <v>45790</v>
      </c>
      <c r="B134">
        <v>5180</v>
      </c>
      <c r="C134">
        <v>3886</v>
      </c>
      <c r="D134">
        <f t="shared" si="6"/>
        <v>1294</v>
      </c>
      <c r="E134">
        <v>1151</v>
      </c>
      <c r="F134">
        <v>28</v>
      </c>
      <c r="G134">
        <v>1</v>
      </c>
      <c r="H134">
        <f t="shared" si="7"/>
        <v>0.88948995363214833</v>
      </c>
      <c r="I134" s="8">
        <f t="shared" si="8"/>
        <v>0.01</v>
      </c>
    </row>
    <row r="135" spans="1:9" x14ac:dyDescent="0.35">
      <c r="A135" s="2">
        <v>45791</v>
      </c>
      <c r="B135">
        <v>6062</v>
      </c>
      <c r="C135">
        <v>5903</v>
      </c>
      <c r="D135">
        <f t="shared" si="6"/>
        <v>159</v>
      </c>
      <c r="E135">
        <v>300</v>
      </c>
      <c r="F135">
        <v>18</v>
      </c>
      <c r="G135">
        <v>2</v>
      </c>
      <c r="H135">
        <f t="shared" si="7"/>
        <v>0.1132075471698113</v>
      </c>
      <c r="I135" s="8">
        <f t="shared" si="8"/>
        <v>0.02</v>
      </c>
    </row>
    <row r="136" spans="1:9" x14ac:dyDescent="0.35">
      <c r="A136" s="2">
        <v>45792</v>
      </c>
      <c r="B136">
        <v>7884</v>
      </c>
      <c r="C136">
        <v>7621</v>
      </c>
      <c r="D136">
        <f t="shared" si="6"/>
        <v>263</v>
      </c>
      <c r="E136">
        <v>367</v>
      </c>
      <c r="F136">
        <v>23</v>
      </c>
      <c r="G136">
        <v>0</v>
      </c>
      <c r="H136">
        <f t="shared" si="7"/>
        <v>0.6045627376425855</v>
      </c>
      <c r="I136" s="8">
        <f t="shared" si="8"/>
        <v>0</v>
      </c>
    </row>
    <row r="137" spans="1:9" x14ac:dyDescent="0.35">
      <c r="A137" s="2">
        <v>45793</v>
      </c>
      <c r="B137">
        <v>4064</v>
      </c>
      <c r="C137">
        <v>3610</v>
      </c>
      <c r="D137">
        <f t="shared" si="6"/>
        <v>454</v>
      </c>
      <c r="E137">
        <v>433</v>
      </c>
      <c r="F137">
        <v>20</v>
      </c>
      <c r="G137">
        <v>4</v>
      </c>
      <c r="H137">
        <f t="shared" si="7"/>
        <v>0.95374449339207046</v>
      </c>
      <c r="I137" s="8">
        <f t="shared" si="8"/>
        <v>0.04</v>
      </c>
    </row>
    <row r="138" spans="1:9" x14ac:dyDescent="0.35">
      <c r="A138" s="2">
        <v>45794</v>
      </c>
      <c r="B138">
        <v>7928</v>
      </c>
      <c r="C138">
        <v>6473</v>
      </c>
      <c r="D138">
        <f t="shared" si="6"/>
        <v>1455</v>
      </c>
      <c r="E138">
        <v>1424</v>
      </c>
      <c r="F138">
        <v>27</v>
      </c>
      <c r="G138">
        <v>0</v>
      </c>
      <c r="H138">
        <f t="shared" si="7"/>
        <v>0.97869415807560134</v>
      </c>
      <c r="I138" s="8">
        <f t="shared" si="8"/>
        <v>0</v>
      </c>
    </row>
    <row r="139" spans="1:9" x14ac:dyDescent="0.35">
      <c r="A139" s="2">
        <v>45795</v>
      </c>
      <c r="B139">
        <v>7910</v>
      </c>
      <c r="C139">
        <v>8008</v>
      </c>
      <c r="D139">
        <f t="shared" si="6"/>
        <v>-98</v>
      </c>
      <c r="E139">
        <v>27</v>
      </c>
      <c r="F139">
        <v>25</v>
      </c>
      <c r="G139">
        <v>0</v>
      </c>
      <c r="H139">
        <f t="shared" si="7"/>
        <v>-0.27551020408163263</v>
      </c>
      <c r="I139" s="8">
        <f t="shared" si="8"/>
        <v>0</v>
      </c>
    </row>
    <row r="140" spans="1:9" x14ac:dyDescent="0.35">
      <c r="A140" s="2">
        <v>45796</v>
      </c>
      <c r="B140">
        <v>6568</v>
      </c>
      <c r="C140">
        <v>5699</v>
      </c>
      <c r="D140">
        <f t="shared" si="6"/>
        <v>869</v>
      </c>
      <c r="E140">
        <v>939</v>
      </c>
      <c r="F140">
        <v>17</v>
      </c>
      <c r="G140">
        <v>2</v>
      </c>
      <c r="H140">
        <f t="shared" si="7"/>
        <v>0.91944764096662834</v>
      </c>
      <c r="I140" s="8">
        <f t="shared" si="8"/>
        <v>0.02</v>
      </c>
    </row>
    <row r="141" spans="1:9" x14ac:dyDescent="0.35">
      <c r="A141" s="2">
        <v>45797</v>
      </c>
      <c r="B141">
        <v>5367</v>
      </c>
      <c r="C141">
        <v>3881</v>
      </c>
      <c r="D141">
        <f t="shared" si="6"/>
        <v>1486</v>
      </c>
      <c r="E141">
        <v>1339</v>
      </c>
      <c r="F141">
        <v>15</v>
      </c>
      <c r="G141">
        <v>4</v>
      </c>
      <c r="H141">
        <f t="shared" si="7"/>
        <v>0.90107671601615069</v>
      </c>
      <c r="I141" s="8">
        <f t="shared" si="8"/>
        <v>0.04</v>
      </c>
    </row>
    <row r="142" spans="1:9" x14ac:dyDescent="0.35">
      <c r="A142" s="2">
        <v>45798</v>
      </c>
      <c r="B142">
        <v>5152</v>
      </c>
      <c r="C142">
        <v>4118</v>
      </c>
      <c r="D142">
        <f t="shared" si="6"/>
        <v>1034</v>
      </c>
      <c r="E142">
        <v>934</v>
      </c>
      <c r="F142">
        <v>18</v>
      </c>
      <c r="G142">
        <v>4</v>
      </c>
      <c r="H142">
        <f t="shared" si="7"/>
        <v>0.90328820116054165</v>
      </c>
      <c r="I142" s="8">
        <f t="shared" si="8"/>
        <v>0.04</v>
      </c>
    </row>
    <row r="143" spans="1:9" x14ac:dyDescent="0.35">
      <c r="A143" s="2">
        <v>45799</v>
      </c>
      <c r="B143">
        <v>6027</v>
      </c>
      <c r="C143">
        <v>6381</v>
      </c>
      <c r="D143">
        <f t="shared" si="6"/>
        <v>-354</v>
      </c>
      <c r="E143">
        <v>-291</v>
      </c>
      <c r="F143">
        <v>26</v>
      </c>
      <c r="G143">
        <v>3</v>
      </c>
      <c r="H143">
        <f t="shared" si="7"/>
        <v>0.82203389830508478</v>
      </c>
      <c r="I143" s="8">
        <f t="shared" si="8"/>
        <v>0.03</v>
      </c>
    </row>
    <row r="144" spans="1:9" x14ac:dyDescent="0.35">
      <c r="A144" s="2">
        <v>45800</v>
      </c>
      <c r="B144">
        <v>6695</v>
      </c>
      <c r="C144">
        <v>6024</v>
      </c>
      <c r="D144">
        <f t="shared" si="6"/>
        <v>671</v>
      </c>
      <c r="E144">
        <v>523</v>
      </c>
      <c r="F144">
        <v>27</v>
      </c>
      <c r="G144">
        <v>0</v>
      </c>
      <c r="H144">
        <f t="shared" si="7"/>
        <v>0.77943368107302535</v>
      </c>
      <c r="I144" s="8">
        <f t="shared" si="8"/>
        <v>0</v>
      </c>
    </row>
    <row r="145" spans="1:9" x14ac:dyDescent="0.35">
      <c r="A145" s="2">
        <v>45801</v>
      </c>
      <c r="B145">
        <v>5495</v>
      </c>
      <c r="C145">
        <v>5132</v>
      </c>
      <c r="D145">
        <f t="shared" si="6"/>
        <v>363</v>
      </c>
      <c r="E145">
        <v>222</v>
      </c>
      <c r="F145">
        <v>23</v>
      </c>
      <c r="G145">
        <v>0</v>
      </c>
      <c r="H145">
        <f t="shared" si="7"/>
        <v>0.61157024793388426</v>
      </c>
      <c r="I145" s="8">
        <f t="shared" si="8"/>
        <v>0</v>
      </c>
    </row>
    <row r="146" spans="1:9" x14ac:dyDescent="0.35">
      <c r="A146" s="2">
        <v>45802</v>
      </c>
      <c r="B146">
        <v>7134</v>
      </c>
      <c r="C146">
        <v>5900</v>
      </c>
      <c r="D146">
        <f t="shared" si="6"/>
        <v>1234</v>
      </c>
      <c r="E146">
        <v>1141</v>
      </c>
      <c r="F146">
        <v>17</v>
      </c>
      <c r="G146">
        <v>1</v>
      </c>
      <c r="H146">
        <f t="shared" si="7"/>
        <v>0.92463533225283634</v>
      </c>
      <c r="I146" s="8">
        <f t="shared" si="8"/>
        <v>0.01</v>
      </c>
    </row>
    <row r="147" spans="1:9" x14ac:dyDescent="0.35">
      <c r="A147" s="2">
        <v>45803</v>
      </c>
      <c r="B147">
        <v>5162</v>
      </c>
      <c r="C147">
        <v>3819</v>
      </c>
      <c r="D147">
        <f t="shared" si="6"/>
        <v>1343</v>
      </c>
      <c r="E147">
        <v>1147</v>
      </c>
      <c r="F147">
        <v>26</v>
      </c>
      <c r="G147">
        <v>3</v>
      </c>
      <c r="H147">
        <f t="shared" si="7"/>
        <v>0.85405807892777363</v>
      </c>
      <c r="I147" s="8">
        <f t="shared" si="8"/>
        <v>0.03</v>
      </c>
    </row>
    <row r="148" spans="1:9" x14ac:dyDescent="0.35">
      <c r="A148" s="2">
        <v>45804</v>
      </c>
      <c r="B148">
        <v>5522</v>
      </c>
      <c r="C148">
        <v>5534</v>
      </c>
      <c r="D148">
        <f t="shared" si="6"/>
        <v>-12</v>
      </c>
      <c r="E148">
        <v>-110</v>
      </c>
      <c r="F148">
        <v>23</v>
      </c>
      <c r="G148">
        <v>1</v>
      </c>
      <c r="H148">
        <f t="shared" si="7"/>
        <v>-7.1666666666666661</v>
      </c>
      <c r="I148" s="8">
        <f t="shared" si="8"/>
        <v>0.01</v>
      </c>
    </row>
    <row r="149" spans="1:9" x14ac:dyDescent="0.35">
      <c r="A149" s="2">
        <v>45805</v>
      </c>
      <c r="B149">
        <v>6640</v>
      </c>
      <c r="C149">
        <v>6212</v>
      </c>
      <c r="D149">
        <f t="shared" si="6"/>
        <v>428</v>
      </c>
      <c r="E149">
        <v>423</v>
      </c>
      <c r="F149">
        <v>21</v>
      </c>
      <c r="G149">
        <v>1</v>
      </c>
      <c r="H149">
        <f t="shared" si="7"/>
        <v>0.98831775700934577</v>
      </c>
      <c r="I149" s="8">
        <f t="shared" si="8"/>
        <v>0.01</v>
      </c>
    </row>
    <row r="150" spans="1:9" x14ac:dyDescent="0.35">
      <c r="A150" s="2">
        <v>45806</v>
      </c>
      <c r="B150">
        <v>4391</v>
      </c>
      <c r="C150">
        <v>2932</v>
      </c>
      <c r="D150">
        <f t="shared" si="6"/>
        <v>1459</v>
      </c>
      <c r="E150">
        <v>1520</v>
      </c>
      <c r="F150">
        <v>26</v>
      </c>
      <c r="G150">
        <v>1</v>
      </c>
      <c r="H150">
        <f t="shared" si="7"/>
        <v>0.95819054146675808</v>
      </c>
      <c r="I150" s="8">
        <f t="shared" si="8"/>
        <v>0.01</v>
      </c>
    </row>
    <row r="151" spans="1:9" x14ac:dyDescent="0.35">
      <c r="A151" s="2">
        <v>45807</v>
      </c>
      <c r="B151">
        <v>5698</v>
      </c>
      <c r="C151">
        <v>4535</v>
      </c>
      <c r="D151">
        <f t="shared" si="6"/>
        <v>1163</v>
      </c>
      <c r="E151">
        <v>1327</v>
      </c>
      <c r="F151">
        <v>28</v>
      </c>
      <c r="G151">
        <v>2</v>
      </c>
      <c r="H151">
        <f t="shared" si="7"/>
        <v>0.85898538263112645</v>
      </c>
      <c r="I151" s="8">
        <f t="shared" si="8"/>
        <v>0.02</v>
      </c>
    </row>
    <row r="152" spans="1:9" x14ac:dyDescent="0.35">
      <c r="A152" s="2">
        <v>45808</v>
      </c>
      <c r="B152">
        <v>4418</v>
      </c>
      <c r="C152">
        <v>4368</v>
      </c>
      <c r="D152">
        <f t="shared" si="6"/>
        <v>50</v>
      </c>
      <c r="E152">
        <v>221</v>
      </c>
      <c r="F152">
        <v>29</v>
      </c>
      <c r="G152">
        <v>2</v>
      </c>
      <c r="H152">
        <f t="shared" si="7"/>
        <v>-2.42</v>
      </c>
      <c r="I152" s="8">
        <f t="shared" si="8"/>
        <v>0.02</v>
      </c>
    </row>
    <row r="153" spans="1:9" x14ac:dyDescent="0.35">
      <c r="A153" s="2">
        <v>45809</v>
      </c>
      <c r="B153">
        <v>6336</v>
      </c>
      <c r="C153">
        <v>6499</v>
      </c>
      <c r="D153">
        <f t="shared" si="6"/>
        <v>-163</v>
      </c>
      <c r="E153">
        <v>-14</v>
      </c>
      <c r="F153">
        <v>18</v>
      </c>
      <c r="G153">
        <v>1</v>
      </c>
      <c r="H153">
        <f t="shared" si="7"/>
        <v>8.5889570552147187E-2</v>
      </c>
      <c r="I153" s="8">
        <f t="shared" si="8"/>
        <v>0.01</v>
      </c>
    </row>
    <row r="154" spans="1:9" x14ac:dyDescent="0.35">
      <c r="A154" s="2">
        <v>45810</v>
      </c>
      <c r="B154">
        <v>4378</v>
      </c>
      <c r="C154">
        <v>4007</v>
      </c>
      <c r="D154">
        <f t="shared" si="6"/>
        <v>371</v>
      </c>
      <c r="E154">
        <v>217</v>
      </c>
      <c r="F154">
        <v>17</v>
      </c>
      <c r="G154">
        <v>3</v>
      </c>
      <c r="H154">
        <f t="shared" si="7"/>
        <v>0.58490566037735847</v>
      </c>
      <c r="I154" s="8">
        <f t="shared" si="8"/>
        <v>0.03</v>
      </c>
    </row>
    <row r="155" spans="1:9" x14ac:dyDescent="0.35">
      <c r="A155" s="2">
        <v>45811</v>
      </c>
      <c r="B155">
        <v>5796</v>
      </c>
      <c r="C155">
        <v>5656</v>
      </c>
      <c r="D155">
        <f t="shared" si="6"/>
        <v>140</v>
      </c>
      <c r="E155">
        <v>294</v>
      </c>
      <c r="F155">
        <v>24</v>
      </c>
      <c r="G155">
        <v>0</v>
      </c>
      <c r="H155">
        <f t="shared" si="7"/>
        <v>-0.10000000000000009</v>
      </c>
      <c r="I155" s="8">
        <f t="shared" si="8"/>
        <v>0</v>
      </c>
    </row>
    <row r="156" spans="1:9" x14ac:dyDescent="0.35">
      <c r="A156" s="2">
        <v>45812</v>
      </c>
      <c r="B156">
        <v>7561</v>
      </c>
      <c r="C156">
        <v>6259</v>
      </c>
      <c r="D156">
        <f t="shared" si="6"/>
        <v>1302</v>
      </c>
      <c r="E156">
        <v>1412</v>
      </c>
      <c r="F156">
        <v>29</v>
      </c>
      <c r="G156">
        <v>3</v>
      </c>
      <c r="H156">
        <f t="shared" si="7"/>
        <v>0.91551459293394777</v>
      </c>
      <c r="I156" s="8">
        <f t="shared" si="8"/>
        <v>0.03</v>
      </c>
    </row>
    <row r="157" spans="1:9" x14ac:dyDescent="0.35">
      <c r="A157" s="2">
        <v>45813</v>
      </c>
      <c r="B157">
        <v>6278</v>
      </c>
      <c r="C157">
        <v>4802</v>
      </c>
      <c r="D157">
        <f t="shared" si="6"/>
        <v>1476</v>
      </c>
      <c r="E157">
        <v>1583</v>
      </c>
      <c r="F157">
        <v>19</v>
      </c>
      <c r="G157">
        <v>4</v>
      </c>
      <c r="H157">
        <f t="shared" si="7"/>
        <v>0.9275067750677507</v>
      </c>
      <c r="I157" s="8">
        <f t="shared" si="8"/>
        <v>0.04</v>
      </c>
    </row>
    <row r="158" spans="1:9" x14ac:dyDescent="0.35">
      <c r="A158" s="2">
        <v>45814</v>
      </c>
      <c r="B158">
        <v>7065</v>
      </c>
      <c r="C158">
        <v>7093</v>
      </c>
      <c r="D158">
        <f t="shared" si="6"/>
        <v>-28</v>
      </c>
      <c r="E158">
        <v>-85</v>
      </c>
      <c r="F158">
        <v>19</v>
      </c>
      <c r="G158">
        <v>2</v>
      </c>
      <c r="H158">
        <f t="shared" si="7"/>
        <v>-1.0357142857142856</v>
      </c>
      <c r="I158" s="8">
        <f t="shared" si="8"/>
        <v>0.02</v>
      </c>
    </row>
    <row r="159" spans="1:9" x14ac:dyDescent="0.35">
      <c r="A159" s="2">
        <v>45815</v>
      </c>
      <c r="B159">
        <v>6088</v>
      </c>
      <c r="C159">
        <v>4619</v>
      </c>
      <c r="D159">
        <f t="shared" si="6"/>
        <v>1469</v>
      </c>
      <c r="E159">
        <v>1537</v>
      </c>
      <c r="F159">
        <v>17</v>
      </c>
      <c r="G159">
        <v>0</v>
      </c>
      <c r="H159">
        <f t="shared" si="7"/>
        <v>0.95371000680735196</v>
      </c>
      <c r="I159" s="8">
        <f t="shared" si="8"/>
        <v>0</v>
      </c>
    </row>
    <row r="160" spans="1:9" x14ac:dyDescent="0.35">
      <c r="A160" s="2">
        <v>45816</v>
      </c>
      <c r="B160">
        <v>7099</v>
      </c>
      <c r="C160">
        <v>7449</v>
      </c>
      <c r="D160">
        <f t="shared" si="6"/>
        <v>-350</v>
      </c>
      <c r="E160">
        <v>-181</v>
      </c>
      <c r="F160">
        <v>26</v>
      </c>
      <c r="G160">
        <v>0</v>
      </c>
      <c r="H160">
        <f t="shared" si="7"/>
        <v>0.51714285714285713</v>
      </c>
      <c r="I160" s="8">
        <f t="shared" si="8"/>
        <v>0</v>
      </c>
    </row>
    <row r="161" spans="1:9" x14ac:dyDescent="0.35">
      <c r="A161" s="2">
        <v>45817</v>
      </c>
      <c r="B161">
        <v>6182</v>
      </c>
      <c r="C161">
        <v>5244</v>
      </c>
      <c r="D161">
        <f t="shared" si="6"/>
        <v>938</v>
      </c>
      <c r="E161">
        <v>861</v>
      </c>
      <c r="F161">
        <v>23</v>
      </c>
      <c r="G161">
        <v>4</v>
      </c>
      <c r="H161">
        <f t="shared" si="7"/>
        <v>0.91791044776119401</v>
      </c>
      <c r="I161" s="8">
        <f t="shared" si="8"/>
        <v>0.04</v>
      </c>
    </row>
    <row r="162" spans="1:9" x14ac:dyDescent="0.35">
      <c r="A162" s="2">
        <v>45818</v>
      </c>
      <c r="B162">
        <v>4200</v>
      </c>
      <c r="C162">
        <v>3379</v>
      </c>
      <c r="D162">
        <f t="shared" si="6"/>
        <v>821</v>
      </c>
      <c r="E162">
        <v>726</v>
      </c>
      <c r="F162">
        <v>18</v>
      </c>
      <c r="G162">
        <v>4</v>
      </c>
      <c r="H162">
        <f t="shared" si="7"/>
        <v>0.88428745432399514</v>
      </c>
      <c r="I162" s="8">
        <f t="shared" si="8"/>
        <v>0.04</v>
      </c>
    </row>
    <row r="163" spans="1:9" x14ac:dyDescent="0.35">
      <c r="A163" s="2">
        <v>45819</v>
      </c>
      <c r="B163">
        <v>5863</v>
      </c>
      <c r="C163">
        <v>4729</v>
      </c>
      <c r="D163">
        <f t="shared" si="6"/>
        <v>1134</v>
      </c>
      <c r="E163">
        <v>1091</v>
      </c>
      <c r="F163">
        <v>25</v>
      </c>
      <c r="G163">
        <v>1</v>
      </c>
      <c r="H163">
        <f t="shared" si="7"/>
        <v>0.96208112874779539</v>
      </c>
      <c r="I163" s="8">
        <f t="shared" si="8"/>
        <v>0.01</v>
      </c>
    </row>
    <row r="164" spans="1:9" x14ac:dyDescent="0.35">
      <c r="A164" s="2">
        <v>45820</v>
      </c>
      <c r="B164">
        <v>4779</v>
      </c>
      <c r="C164">
        <v>5017</v>
      </c>
      <c r="D164">
        <f t="shared" si="6"/>
        <v>-238</v>
      </c>
      <c r="E164">
        <v>-292</v>
      </c>
      <c r="F164">
        <v>19</v>
      </c>
      <c r="G164">
        <v>2</v>
      </c>
      <c r="H164">
        <f t="shared" si="7"/>
        <v>0.77310924369747902</v>
      </c>
      <c r="I164" s="8">
        <f t="shared" si="8"/>
        <v>0.02</v>
      </c>
    </row>
    <row r="165" spans="1:9" x14ac:dyDescent="0.35">
      <c r="A165" s="2">
        <v>45821</v>
      </c>
      <c r="B165">
        <v>6977</v>
      </c>
      <c r="C165">
        <v>5690</v>
      </c>
      <c r="D165">
        <f t="shared" si="6"/>
        <v>1287</v>
      </c>
      <c r="E165">
        <v>1231</v>
      </c>
      <c r="F165">
        <v>18</v>
      </c>
      <c r="G165">
        <v>2</v>
      </c>
      <c r="H165">
        <f t="shared" si="7"/>
        <v>0.95648795648795648</v>
      </c>
      <c r="I165" s="8">
        <f t="shared" si="8"/>
        <v>0.02</v>
      </c>
    </row>
    <row r="166" spans="1:9" x14ac:dyDescent="0.35">
      <c r="A166" s="2">
        <v>45822</v>
      </c>
      <c r="B166">
        <v>7104</v>
      </c>
      <c r="C166">
        <v>7461</v>
      </c>
      <c r="D166">
        <f t="shared" si="6"/>
        <v>-357</v>
      </c>
      <c r="E166">
        <v>-438</v>
      </c>
      <c r="F166">
        <v>19</v>
      </c>
      <c r="G166">
        <v>3</v>
      </c>
      <c r="H166">
        <f t="shared" si="7"/>
        <v>0.77310924369747902</v>
      </c>
      <c r="I166" s="8">
        <f t="shared" si="8"/>
        <v>0.03</v>
      </c>
    </row>
    <row r="167" spans="1:9" x14ac:dyDescent="0.35">
      <c r="A167" s="2">
        <v>45823</v>
      </c>
      <c r="B167">
        <v>7119</v>
      </c>
      <c r="C167">
        <v>7274</v>
      </c>
      <c r="D167">
        <f t="shared" si="6"/>
        <v>-155</v>
      </c>
      <c r="E167">
        <v>-37</v>
      </c>
      <c r="F167">
        <v>21</v>
      </c>
      <c r="G167">
        <v>1</v>
      </c>
      <c r="H167">
        <f t="shared" si="7"/>
        <v>0.23870967741935489</v>
      </c>
      <c r="I167" s="8">
        <f t="shared" si="8"/>
        <v>0.01</v>
      </c>
    </row>
    <row r="168" spans="1:9" x14ac:dyDescent="0.35">
      <c r="A168" s="2">
        <v>45824</v>
      </c>
      <c r="B168">
        <v>4502</v>
      </c>
      <c r="C168">
        <v>4379</v>
      </c>
      <c r="D168">
        <f t="shared" si="6"/>
        <v>123</v>
      </c>
      <c r="E168">
        <v>197</v>
      </c>
      <c r="F168">
        <v>23</v>
      </c>
      <c r="G168">
        <v>1</v>
      </c>
      <c r="H168">
        <f t="shared" si="7"/>
        <v>0.39837398373983735</v>
      </c>
      <c r="I168" s="8">
        <f t="shared" si="8"/>
        <v>0.01</v>
      </c>
    </row>
    <row r="169" spans="1:9" x14ac:dyDescent="0.35">
      <c r="A169" s="2">
        <v>45825</v>
      </c>
      <c r="B169">
        <v>6454</v>
      </c>
      <c r="C169">
        <v>5938</v>
      </c>
      <c r="D169">
        <f t="shared" si="6"/>
        <v>516</v>
      </c>
      <c r="E169">
        <v>407</v>
      </c>
      <c r="F169">
        <v>21</v>
      </c>
      <c r="G169">
        <v>1</v>
      </c>
      <c r="H169">
        <f t="shared" si="7"/>
        <v>0.78875968992248069</v>
      </c>
      <c r="I169" s="8">
        <f t="shared" si="8"/>
        <v>0.01</v>
      </c>
    </row>
    <row r="170" spans="1:9" x14ac:dyDescent="0.35">
      <c r="A170" s="2">
        <v>45826</v>
      </c>
      <c r="B170">
        <v>7645</v>
      </c>
      <c r="C170">
        <v>6550</v>
      </c>
      <c r="D170">
        <f t="shared" si="6"/>
        <v>1095</v>
      </c>
      <c r="E170">
        <v>952</v>
      </c>
      <c r="F170">
        <v>27</v>
      </c>
      <c r="G170">
        <v>1</v>
      </c>
      <c r="H170">
        <f t="shared" si="7"/>
        <v>0.86940639269406395</v>
      </c>
      <c r="I170" s="8">
        <f t="shared" si="8"/>
        <v>0.01</v>
      </c>
    </row>
    <row r="171" spans="1:9" x14ac:dyDescent="0.35">
      <c r="A171" s="2">
        <v>45827</v>
      </c>
      <c r="B171">
        <v>5751</v>
      </c>
      <c r="C171">
        <v>5371</v>
      </c>
      <c r="D171">
        <f t="shared" si="6"/>
        <v>380</v>
      </c>
      <c r="E171">
        <v>525</v>
      </c>
      <c r="F171">
        <v>19</v>
      </c>
      <c r="G171">
        <v>2</v>
      </c>
      <c r="H171">
        <f t="shared" si="7"/>
        <v>0.61842105263157898</v>
      </c>
      <c r="I171" s="8">
        <f t="shared" si="8"/>
        <v>0.02</v>
      </c>
    </row>
    <row r="172" spans="1:9" x14ac:dyDescent="0.35">
      <c r="A172" s="2">
        <v>45828</v>
      </c>
      <c r="B172">
        <v>4804</v>
      </c>
      <c r="C172">
        <v>5303</v>
      </c>
      <c r="D172">
        <f t="shared" si="6"/>
        <v>-499</v>
      </c>
      <c r="E172">
        <v>-471</v>
      </c>
      <c r="F172">
        <v>24</v>
      </c>
      <c r="G172">
        <v>2</v>
      </c>
      <c r="H172">
        <f t="shared" si="7"/>
        <v>0.94388777555110215</v>
      </c>
      <c r="I172" s="8">
        <f t="shared" si="8"/>
        <v>0.02</v>
      </c>
    </row>
    <row r="173" spans="1:9" x14ac:dyDescent="0.35">
      <c r="A173" s="2">
        <v>45829</v>
      </c>
      <c r="B173">
        <v>6146</v>
      </c>
      <c r="C173">
        <v>5750</v>
      </c>
      <c r="D173">
        <f t="shared" si="6"/>
        <v>396</v>
      </c>
      <c r="E173">
        <v>312</v>
      </c>
      <c r="F173">
        <v>24</v>
      </c>
      <c r="G173">
        <v>1</v>
      </c>
      <c r="H173">
        <f t="shared" si="7"/>
        <v>0.78787878787878785</v>
      </c>
      <c r="I173" s="8">
        <f t="shared" si="8"/>
        <v>0.01</v>
      </c>
    </row>
    <row r="174" spans="1:9" x14ac:dyDescent="0.35">
      <c r="A174" s="2">
        <v>45830</v>
      </c>
      <c r="B174">
        <v>6731</v>
      </c>
      <c r="C174">
        <v>5904</v>
      </c>
      <c r="D174">
        <f t="shared" si="6"/>
        <v>827</v>
      </c>
      <c r="E174">
        <v>944</v>
      </c>
      <c r="F174">
        <v>21</v>
      </c>
      <c r="G174">
        <v>3</v>
      </c>
      <c r="H174">
        <f t="shared" si="7"/>
        <v>0.85852478839177748</v>
      </c>
      <c r="I174" s="8">
        <f t="shared" si="8"/>
        <v>0.03</v>
      </c>
    </row>
    <row r="175" spans="1:9" x14ac:dyDescent="0.35">
      <c r="A175" s="2">
        <v>45831</v>
      </c>
      <c r="B175">
        <v>5895</v>
      </c>
      <c r="C175">
        <v>6142</v>
      </c>
      <c r="D175">
        <f t="shared" si="6"/>
        <v>-247</v>
      </c>
      <c r="E175">
        <v>-169</v>
      </c>
      <c r="F175">
        <v>28</v>
      </c>
      <c r="G175">
        <v>0</v>
      </c>
      <c r="H175">
        <f t="shared" si="7"/>
        <v>0.68421052631578949</v>
      </c>
      <c r="I175" s="8">
        <f t="shared" si="8"/>
        <v>0</v>
      </c>
    </row>
    <row r="176" spans="1:9" x14ac:dyDescent="0.35">
      <c r="A176" s="2">
        <v>45832</v>
      </c>
      <c r="B176">
        <v>6773</v>
      </c>
      <c r="C176">
        <v>5598</v>
      </c>
      <c r="D176">
        <f t="shared" si="6"/>
        <v>1175</v>
      </c>
      <c r="E176">
        <v>1101</v>
      </c>
      <c r="F176">
        <v>29</v>
      </c>
      <c r="G176">
        <v>0</v>
      </c>
      <c r="H176">
        <f t="shared" si="7"/>
        <v>0.93702127659574463</v>
      </c>
      <c r="I176" s="8">
        <f t="shared" si="8"/>
        <v>0</v>
      </c>
    </row>
    <row r="177" spans="1:9" x14ac:dyDescent="0.35">
      <c r="A177" s="2">
        <v>45833</v>
      </c>
      <c r="B177">
        <v>5570</v>
      </c>
      <c r="C177">
        <v>5618</v>
      </c>
      <c r="D177">
        <f t="shared" si="6"/>
        <v>-48</v>
      </c>
      <c r="E177">
        <v>144</v>
      </c>
      <c r="F177">
        <v>24</v>
      </c>
      <c r="G177">
        <v>3</v>
      </c>
      <c r="H177">
        <f t="shared" si="7"/>
        <v>-3</v>
      </c>
      <c r="I177" s="8">
        <f t="shared" si="8"/>
        <v>0.03</v>
      </c>
    </row>
    <row r="178" spans="1:9" x14ac:dyDescent="0.35">
      <c r="A178" s="2">
        <v>45834</v>
      </c>
      <c r="B178">
        <v>4960</v>
      </c>
      <c r="C178">
        <v>4400</v>
      </c>
      <c r="D178">
        <f t="shared" si="6"/>
        <v>560</v>
      </c>
      <c r="E178">
        <v>755</v>
      </c>
      <c r="F178">
        <v>19</v>
      </c>
      <c r="G178">
        <v>1</v>
      </c>
      <c r="H178">
        <f t="shared" si="7"/>
        <v>0.6517857142857143</v>
      </c>
      <c r="I178" s="8">
        <f t="shared" si="8"/>
        <v>0.01</v>
      </c>
    </row>
    <row r="179" spans="1:9" x14ac:dyDescent="0.35">
      <c r="A179" s="2">
        <v>45835</v>
      </c>
      <c r="B179">
        <v>7810</v>
      </c>
      <c r="C179">
        <v>7127</v>
      </c>
      <c r="D179">
        <f t="shared" si="6"/>
        <v>683</v>
      </c>
      <c r="E179">
        <v>611</v>
      </c>
      <c r="F179">
        <v>17</v>
      </c>
      <c r="G179">
        <v>2</v>
      </c>
      <c r="H179">
        <f t="shared" si="7"/>
        <v>0.89458272327964861</v>
      </c>
      <c r="I179" s="8">
        <f t="shared" si="8"/>
        <v>0.02</v>
      </c>
    </row>
    <row r="180" spans="1:9" x14ac:dyDescent="0.35">
      <c r="A180" s="2">
        <v>45836</v>
      </c>
      <c r="B180">
        <v>6660</v>
      </c>
      <c r="C180">
        <v>6146</v>
      </c>
      <c r="D180">
        <f t="shared" si="6"/>
        <v>514</v>
      </c>
      <c r="E180">
        <v>371</v>
      </c>
      <c r="F180">
        <v>21</v>
      </c>
      <c r="G180">
        <v>0</v>
      </c>
      <c r="H180">
        <f t="shared" si="7"/>
        <v>0.72178988326848248</v>
      </c>
      <c r="I180" s="8">
        <f t="shared" si="8"/>
        <v>0</v>
      </c>
    </row>
    <row r="181" spans="1:9" x14ac:dyDescent="0.35">
      <c r="A181" s="2">
        <v>45837</v>
      </c>
      <c r="B181">
        <v>5485</v>
      </c>
      <c r="C181">
        <v>5977</v>
      </c>
      <c r="D181">
        <f t="shared" si="6"/>
        <v>-492</v>
      </c>
      <c r="E181">
        <v>-571</v>
      </c>
      <c r="F181">
        <v>27</v>
      </c>
      <c r="G181">
        <v>4</v>
      </c>
      <c r="H181">
        <f t="shared" si="7"/>
        <v>0.83943089430894302</v>
      </c>
      <c r="I181" s="8">
        <f t="shared" si="8"/>
        <v>0.04</v>
      </c>
    </row>
    <row r="182" spans="1:9" x14ac:dyDescent="0.35">
      <c r="A182" s="2">
        <v>45838</v>
      </c>
      <c r="B182">
        <v>6690</v>
      </c>
      <c r="C182">
        <v>5934</v>
      </c>
      <c r="D182">
        <f t="shared" si="6"/>
        <v>756</v>
      </c>
      <c r="E182">
        <v>556</v>
      </c>
      <c r="F182">
        <v>25</v>
      </c>
      <c r="G182">
        <v>4</v>
      </c>
      <c r="H182">
        <f t="shared" si="7"/>
        <v>0.73544973544973546</v>
      </c>
      <c r="I182" s="8">
        <f t="shared" si="8"/>
        <v>0.04</v>
      </c>
    </row>
    <row r="183" spans="1:9" x14ac:dyDescent="0.35">
      <c r="A183" s="2">
        <v>45839</v>
      </c>
      <c r="B183">
        <v>7840</v>
      </c>
      <c r="C183">
        <v>7218</v>
      </c>
      <c r="D183">
        <f t="shared" si="6"/>
        <v>622</v>
      </c>
      <c r="E183">
        <v>660</v>
      </c>
      <c r="F183">
        <v>25</v>
      </c>
      <c r="G183">
        <v>3</v>
      </c>
      <c r="H183">
        <f t="shared" si="7"/>
        <v>0.93890675241157551</v>
      </c>
      <c r="I183" s="8">
        <f t="shared" si="8"/>
        <v>0.03</v>
      </c>
    </row>
    <row r="184" spans="1:9" x14ac:dyDescent="0.35">
      <c r="A184" s="2">
        <v>45840</v>
      </c>
      <c r="B184">
        <v>5028</v>
      </c>
      <c r="C184">
        <v>3846</v>
      </c>
      <c r="D184">
        <f t="shared" si="6"/>
        <v>1182</v>
      </c>
      <c r="E184">
        <v>1271</v>
      </c>
      <c r="F184">
        <v>16</v>
      </c>
      <c r="G184">
        <v>1</v>
      </c>
      <c r="H184">
        <f t="shared" si="7"/>
        <v>0.92470389170896783</v>
      </c>
      <c r="I184" s="8">
        <f t="shared" si="8"/>
        <v>0.01</v>
      </c>
    </row>
    <row r="185" spans="1:9" x14ac:dyDescent="0.35">
      <c r="A185" s="2">
        <v>45841</v>
      </c>
      <c r="B185">
        <v>7289</v>
      </c>
      <c r="C185">
        <v>6974</v>
      </c>
      <c r="D185">
        <f t="shared" si="6"/>
        <v>315</v>
      </c>
      <c r="E185">
        <v>210</v>
      </c>
      <c r="F185">
        <v>29</v>
      </c>
      <c r="G185">
        <v>0</v>
      </c>
      <c r="H185">
        <f t="shared" si="7"/>
        <v>0.66666666666666674</v>
      </c>
      <c r="I185" s="8">
        <f t="shared" si="8"/>
        <v>0</v>
      </c>
    </row>
    <row r="186" spans="1:9" x14ac:dyDescent="0.35">
      <c r="A186" s="2">
        <v>45842</v>
      </c>
      <c r="B186">
        <v>4502</v>
      </c>
      <c r="C186">
        <v>4795</v>
      </c>
      <c r="D186">
        <f t="shared" si="6"/>
        <v>-293</v>
      </c>
      <c r="E186">
        <v>-368</v>
      </c>
      <c r="F186">
        <v>26</v>
      </c>
      <c r="G186">
        <v>1</v>
      </c>
      <c r="H186">
        <f t="shared" si="7"/>
        <v>0.74402730375426618</v>
      </c>
      <c r="I186" s="8">
        <f t="shared" si="8"/>
        <v>0.01</v>
      </c>
    </row>
    <row r="187" spans="1:9" x14ac:dyDescent="0.35">
      <c r="A187" s="2">
        <v>45843</v>
      </c>
      <c r="B187">
        <v>6814</v>
      </c>
      <c r="C187">
        <v>6160</v>
      </c>
      <c r="D187">
        <f t="shared" si="6"/>
        <v>654</v>
      </c>
      <c r="E187">
        <v>571</v>
      </c>
      <c r="F187">
        <v>23</v>
      </c>
      <c r="G187">
        <v>0</v>
      </c>
      <c r="H187">
        <f t="shared" si="7"/>
        <v>0.87308868501529058</v>
      </c>
      <c r="I187" s="8">
        <f t="shared" si="8"/>
        <v>0</v>
      </c>
    </row>
    <row r="188" spans="1:9" x14ac:dyDescent="0.35">
      <c r="A188" s="2">
        <v>45844</v>
      </c>
      <c r="B188">
        <v>4397</v>
      </c>
      <c r="C188">
        <v>4494</v>
      </c>
      <c r="D188">
        <f t="shared" si="6"/>
        <v>-97</v>
      </c>
      <c r="E188">
        <v>-250</v>
      </c>
      <c r="F188">
        <v>24</v>
      </c>
      <c r="G188">
        <v>3</v>
      </c>
      <c r="H188">
        <f t="shared" si="7"/>
        <v>-0.57731958762886593</v>
      </c>
      <c r="I188" s="8">
        <f t="shared" si="8"/>
        <v>0.03</v>
      </c>
    </row>
    <row r="189" spans="1:9" x14ac:dyDescent="0.35">
      <c r="A189" s="2">
        <v>45845</v>
      </c>
      <c r="B189">
        <v>4870</v>
      </c>
      <c r="C189">
        <v>5219</v>
      </c>
      <c r="D189">
        <f t="shared" si="6"/>
        <v>-349</v>
      </c>
      <c r="E189">
        <v>-461</v>
      </c>
      <c r="F189">
        <v>24</v>
      </c>
      <c r="G189">
        <v>3</v>
      </c>
      <c r="H189">
        <f t="shared" si="7"/>
        <v>0.6790830945558739</v>
      </c>
      <c r="I189" s="8">
        <f t="shared" si="8"/>
        <v>0.03</v>
      </c>
    </row>
    <row r="190" spans="1:9" x14ac:dyDescent="0.35">
      <c r="A190" s="2">
        <v>45846</v>
      </c>
      <c r="B190">
        <v>6842</v>
      </c>
      <c r="C190">
        <v>7289</v>
      </c>
      <c r="D190">
        <f t="shared" si="6"/>
        <v>-447</v>
      </c>
      <c r="E190">
        <v>-411</v>
      </c>
      <c r="F190">
        <v>26</v>
      </c>
      <c r="G190">
        <v>4</v>
      </c>
      <c r="H190">
        <f t="shared" si="7"/>
        <v>0.91946308724832215</v>
      </c>
      <c r="I190" s="8">
        <f t="shared" si="8"/>
        <v>0.04</v>
      </c>
    </row>
    <row r="191" spans="1:9" x14ac:dyDescent="0.35">
      <c r="A191" s="2">
        <v>45847</v>
      </c>
      <c r="B191">
        <v>4392</v>
      </c>
      <c r="C191">
        <v>3749</v>
      </c>
      <c r="D191">
        <f t="shared" si="6"/>
        <v>643</v>
      </c>
      <c r="E191">
        <v>815</v>
      </c>
      <c r="F191">
        <v>15</v>
      </c>
      <c r="G191">
        <v>1</v>
      </c>
      <c r="H191">
        <f t="shared" si="7"/>
        <v>0.73250388802488331</v>
      </c>
      <c r="I191" s="8">
        <f t="shared" si="8"/>
        <v>0.01</v>
      </c>
    </row>
    <row r="192" spans="1:9" x14ac:dyDescent="0.35">
      <c r="A192" s="2">
        <v>45848</v>
      </c>
      <c r="B192">
        <v>4206</v>
      </c>
      <c r="C192">
        <v>3010</v>
      </c>
      <c r="D192">
        <f t="shared" si="6"/>
        <v>1196</v>
      </c>
      <c r="E192">
        <v>1380</v>
      </c>
      <c r="F192">
        <v>27</v>
      </c>
      <c r="G192">
        <v>4</v>
      </c>
      <c r="H192">
        <f t="shared" si="7"/>
        <v>0.84615384615384615</v>
      </c>
      <c r="I192" s="8">
        <f t="shared" si="8"/>
        <v>0.04</v>
      </c>
    </row>
    <row r="193" spans="1:9" x14ac:dyDescent="0.35">
      <c r="A193" s="2">
        <v>45849</v>
      </c>
      <c r="B193">
        <v>5038</v>
      </c>
      <c r="C193">
        <v>3595</v>
      </c>
      <c r="D193">
        <f t="shared" si="6"/>
        <v>1443</v>
      </c>
      <c r="E193">
        <v>1514</v>
      </c>
      <c r="F193">
        <v>20</v>
      </c>
      <c r="G193">
        <v>1</v>
      </c>
      <c r="H193">
        <f t="shared" si="7"/>
        <v>0.95079695079695081</v>
      </c>
      <c r="I193" s="8">
        <f t="shared" si="8"/>
        <v>0.01</v>
      </c>
    </row>
    <row r="194" spans="1:9" x14ac:dyDescent="0.35">
      <c r="A194" s="2">
        <v>45850</v>
      </c>
      <c r="B194">
        <v>5881</v>
      </c>
      <c r="C194">
        <v>5754</v>
      </c>
      <c r="D194">
        <f t="shared" si="6"/>
        <v>127</v>
      </c>
      <c r="E194">
        <v>115</v>
      </c>
      <c r="F194">
        <v>21</v>
      </c>
      <c r="G194">
        <v>4</v>
      </c>
      <c r="H194">
        <f t="shared" si="7"/>
        <v>0.90551181102362199</v>
      </c>
      <c r="I194" s="8">
        <f t="shared" si="8"/>
        <v>0.04</v>
      </c>
    </row>
    <row r="195" spans="1:9" x14ac:dyDescent="0.35">
      <c r="A195" s="2">
        <v>45851</v>
      </c>
      <c r="B195">
        <v>7625</v>
      </c>
      <c r="C195">
        <v>7539</v>
      </c>
      <c r="D195">
        <f t="shared" ref="D195:D201" si="9">B195-C195</f>
        <v>86</v>
      </c>
      <c r="E195">
        <v>77</v>
      </c>
      <c r="F195">
        <v>28</v>
      </c>
      <c r="G195">
        <v>2</v>
      </c>
      <c r="H195">
        <f t="shared" ref="H195:H201" si="10">1-ABS((D195-E195)/ABS(D195))</f>
        <v>0.89534883720930236</v>
      </c>
      <c r="I195" s="8">
        <f t="shared" ref="I195:I201" si="11">G195/100</f>
        <v>0.02</v>
      </c>
    </row>
    <row r="196" spans="1:9" x14ac:dyDescent="0.35">
      <c r="A196" s="2">
        <v>45852</v>
      </c>
      <c r="B196">
        <v>6939</v>
      </c>
      <c r="C196">
        <v>5791</v>
      </c>
      <c r="D196">
        <f t="shared" si="9"/>
        <v>1148</v>
      </c>
      <c r="E196">
        <v>1016</v>
      </c>
      <c r="F196">
        <v>27</v>
      </c>
      <c r="G196">
        <v>2</v>
      </c>
      <c r="H196">
        <f t="shared" si="10"/>
        <v>0.88501742160278751</v>
      </c>
      <c r="I196" s="8">
        <f t="shared" si="11"/>
        <v>0.02</v>
      </c>
    </row>
    <row r="197" spans="1:9" x14ac:dyDescent="0.35">
      <c r="A197" s="2">
        <v>45853</v>
      </c>
      <c r="B197">
        <v>5484</v>
      </c>
      <c r="C197">
        <v>3993</v>
      </c>
      <c r="D197">
        <f t="shared" si="9"/>
        <v>1491</v>
      </c>
      <c r="E197">
        <v>1568</v>
      </c>
      <c r="F197">
        <v>22</v>
      </c>
      <c r="G197">
        <v>2</v>
      </c>
      <c r="H197">
        <f t="shared" si="10"/>
        <v>0.94835680751173712</v>
      </c>
      <c r="I197" s="8">
        <f t="shared" si="11"/>
        <v>0.02</v>
      </c>
    </row>
    <row r="198" spans="1:9" x14ac:dyDescent="0.35">
      <c r="A198" s="2">
        <v>45854</v>
      </c>
      <c r="B198">
        <v>7762</v>
      </c>
      <c r="C198">
        <v>6819</v>
      </c>
      <c r="D198">
        <f t="shared" si="9"/>
        <v>943</v>
      </c>
      <c r="E198">
        <v>1091</v>
      </c>
      <c r="F198">
        <v>24</v>
      </c>
      <c r="G198">
        <v>2</v>
      </c>
      <c r="H198">
        <f t="shared" si="10"/>
        <v>0.84305408271474014</v>
      </c>
      <c r="I198" s="8">
        <f t="shared" si="11"/>
        <v>0.02</v>
      </c>
    </row>
    <row r="199" spans="1:9" x14ac:dyDescent="0.35">
      <c r="A199" s="2">
        <v>45855</v>
      </c>
      <c r="B199">
        <v>7646</v>
      </c>
      <c r="C199">
        <v>6701</v>
      </c>
      <c r="D199">
        <f t="shared" si="9"/>
        <v>945</v>
      </c>
      <c r="E199">
        <v>991</v>
      </c>
      <c r="F199">
        <v>23</v>
      </c>
      <c r="G199">
        <v>0</v>
      </c>
      <c r="H199">
        <f t="shared" si="10"/>
        <v>0.95132275132275135</v>
      </c>
      <c r="I199" s="8">
        <f t="shared" si="11"/>
        <v>0</v>
      </c>
    </row>
    <row r="200" spans="1:9" x14ac:dyDescent="0.35">
      <c r="A200" s="2">
        <v>45856</v>
      </c>
      <c r="B200">
        <v>4863</v>
      </c>
      <c r="C200">
        <v>5260</v>
      </c>
      <c r="D200">
        <f t="shared" si="9"/>
        <v>-397</v>
      </c>
      <c r="E200">
        <v>-522</v>
      </c>
      <c r="F200">
        <v>16</v>
      </c>
      <c r="G200">
        <v>2</v>
      </c>
      <c r="H200">
        <f t="shared" si="10"/>
        <v>0.68513853904282118</v>
      </c>
      <c r="I200" s="8">
        <f t="shared" si="11"/>
        <v>0.02</v>
      </c>
    </row>
    <row r="201" spans="1:9" x14ac:dyDescent="0.35">
      <c r="A201" s="2">
        <v>45857</v>
      </c>
      <c r="B201">
        <v>6790</v>
      </c>
      <c r="C201">
        <v>5415</v>
      </c>
      <c r="D201">
        <f t="shared" si="9"/>
        <v>1375</v>
      </c>
      <c r="E201">
        <v>1328</v>
      </c>
      <c r="F201">
        <v>25</v>
      </c>
      <c r="G201">
        <v>3</v>
      </c>
      <c r="H201">
        <f t="shared" si="10"/>
        <v>0.9658181818181818</v>
      </c>
      <c r="I201" s="8">
        <f t="shared" si="11"/>
        <v>0.03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1"/>
  <sheetViews>
    <sheetView topLeftCell="C1" zoomScale="98" workbookViewId="0">
      <selection activeCell="L1" sqref="L1:L1048576"/>
    </sheetView>
  </sheetViews>
  <sheetFormatPr defaultRowHeight="14.5" x14ac:dyDescent="0.35"/>
  <cols>
    <col min="1" max="1" width="18.1796875" bestFit="1" customWidth="1"/>
    <col min="2" max="2" width="9.81640625" bestFit="1" customWidth="1"/>
    <col min="3" max="3" width="11.36328125" bestFit="1" customWidth="1"/>
    <col min="4" max="4" width="11.1796875" bestFit="1" customWidth="1"/>
    <col min="5" max="5" width="18" bestFit="1" customWidth="1"/>
    <col min="6" max="6" width="16.90625" bestFit="1" customWidth="1"/>
    <col min="7" max="7" width="10.81640625" bestFit="1" customWidth="1"/>
    <col min="8" max="8" width="17.08984375" bestFit="1" customWidth="1"/>
    <col min="9" max="9" width="4.1796875" bestFit="1" customWidth="1"/>
    <col min="10" max="10" width="18.1796875" bestFit="1" customWidth="1"/>
    <col min="11" max="11" width="17.54296875" bestFit="1" customWidth="1"/>
    <col min="12" max="12" width="18.36328125" style="9" bestFit="1" customWidth="1"/>
    <col min="13" max="13" width="9.54296875" bestFit="1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3" t="s">
        <v>28</v>
      </c>
      <c r="L1" s="10" t="s">
        <v>22</v>
      </c>
      <c r="M1" s="3" t="s">
        <v>23</v>
      </c>
    </row>
    <row r="2" spans="1:13" x14ac:dyDescent="0.35">
      <c r="A2" s="2">
        <v>45658</v>
      </c>
      <c r="B2">
        <v>7174</v>
      </c>
      <c r="C2">
        <v>6410</v>
      </c>
      <c r="D2">
        <v>764</v>
      </c>
      <c r="E2">
        <v>817</v>
      </c>
      <c r="F2">
        <v>8.6999999999999993</v>
      </c>
      <c r="G2">
        <v>0</v>
      </c>
      <c r="H2" t="s">
        <v>10</v>
      </c>
      <c r="I2" t="s">
        <v>11</v>
      </c>
      <c r="J2" s="2">
        <v>45658.625</v>
      </c>
      <c r="K2">
        <f>D2+(E2-D2)*0.3</f>
        <v>779.9</v>
      </c>
      <c r="L2" s="9">
        <f>IF(D2&lt;&gt;0,(1-ABS(D2-K2)/D2),"")</f>
        <v>0.97918848167539274</v>
      </c>
      <c r="M2">
        <f>G2/100</f>
        <v>0</v>
      </c>
    </row>
    <row r="3" spans="1:13" x14ac:dyDescent="0.35">
      <c r="A3" s="2">
        <v>45659</v>
      </c>
      <c r="B3">
        <v>7507</v>
      </c>
      <c r="C3">
        <v>7444</v>
      </c>
      <c r="D3">
        <v>63</v>
      </c>
      <c r="E3">
        <v>89</v>
      </c>
      <c r="F3">
        <v>9.6</v>
      </c>
      <c r="G3">
        <v>0</v>
      </c>
      <c r="H3" t="s">
        <v>12</v>
      </c>
      <c r="I3" t="s">
        <v>13</v>
      </c>
      <c r="J3" s="2">
        <v>45659.333333333343</v>
      </c>
      <c r="K3">
        <f t="shared" ref="K3:K66" si="0">D3+(E3-D3)*0.3</f>
        <v>70.8</v>
      </c>
      <c r="L3" s="9">
        <f t="shared" ref="L3:L66" si="1">IF(D3&lt;&gt;0,(1-ABS(D3-K3)/D3),"")</f>
        <v>0.87619047619047619</v>
      </c>
      <c r="M3">
        <f t="shared" ref="M3:M66" si="2">G3/100</f>
        <v>0</v>
      </c>
    </row>
    <row r="4" spans="1:13" x14ac:dyDescent="0.35">
      <c r="A4" s="2">
        <v>45660</v>
      </c>
      <c r="B4">
        <v>4860</v>
      </c>
      <c r="C4">
        <v>4340</v>
      </c>
      <c r="D4">
        <v>520</v>
      </c>
      <c r="E4">
        <v>431</v>
      </c>
      <c r="F4">
        <v>15.9</v>
      </c>
      <c r="G4">
        <v>0</v>
      </c>
      <c r="H4" t="s">
        <v>12</v>
      </c>
      <c r="I4" t="s">
        <v>11</v>
      </c>
      <c r="J4" s="2">
        <v>45660.708333333343</v>
      </c>
      <c r="K4">
        <f t="shared" si="0"/>
        <v>493.3</v>
      </c>
      <c r="L4" s="9">
        <f t="shared" si="1"/>
        <v>0.94865384615384618</v>
      </c>
      <c r="M4">
        <f t="shared" si="2"/>
        <v>0</v>
      </c>
    </row>
    <row r="5" spans="1:13" x14ac:dyDescent="0.35">
      <c r="A5" s="2">
        <v>45661</v>
      </c>
      <c r="B5">
        <v>5294</v>
      </c>
      <c r="C5">
        <v>5699</v>
      </c>
      <c r="D5">
        <v>-405</v>
      </c>
      <c r="E5">
        <v>-507</v>
      </c>
      <c r="F5">
        <v>14.5</v>
      </c>
      <c r="G5">
        <v>0</v>
      </c>
      <c r="H5" t="s">
        <v>12</v>
      </c>
      <c r="I5" t="s">
        <v>11</v>
      </c>
      <c r="J5" s="2">
        <v>45661.625</v>
      </c>
      <c r="K5">
        <f>D5+(E5-D5)*0.3</f>
        <v>-435.6</v>
      </c>
      <c r="L5" s="9">
        <f t="shared" si="1"/>
        <v>1.0755555555555556</v>
      </c>
      <c r="M5">
        <f t="shared" si="2"/>
        <v>0</v>
      </c>
    </row>
    <row r="6" spans="1:13" x14ac:dyDescent="0.35">
      <c r="A6" s="2">
        <v>45662</v>
      </c>
      <c r="B6">
        <v>5130</v>
      </c>
      <c r="C6">
        <v>3707</v>
      </c>
      <c r="D6">
        <v>1423</v>
      </c>
      <c r="E6">
        <v>1375</v>
      </c>
      <c r="F6">
        <v>16.600000000000001</v>
      </c>
      <c r="G6">
        <v>0</v>
      </c>
      <c r="H6" t="s">
        <v>10</v>
      </c>
      <c r="I6" t="s">
        <v>11</v>
      </c>
      <c r="J6" s="2">
        <v>45662.583333333343</v>
      </c>
      <c r="K6">
        <f t="shared" si="0"/>
        <v>1408.6</v>
      </c>
      <c r="L6" s="9">
        <f t="shared" si="1"/>
        <v>0.98988053408292331</v>
      </c>
      <c r="M6">
        <f t="shared" si="2"/>
        <v>0</v>
      </c>
    </row>
    <row r="7" spans="1:13" x14ac:dyDescent="0.35">
      <c r="A7" s="2">
        <v>45663</v>
      </c>
      <c r="B7">
        <v>5095</v>
      </c>
      <c r="C7">
        <v>3838</v>
      </c>
      <c r="D7">
        <v>1257</v>
      </c>
      <c r="E7">
        <v>1405</v>
      </c>
      <c r="F7">
        <v>19.7</v>
      </c>
      <c r="G7">
        <v>0</v>
      </c>
      <c r="H7" t="s">
        <v>14</v>
      </c>
      <c r="I7" t="s">
        <v>11</v>
      </c>
      <c r="J7" s="2">
        <v>45663.333333333343</v>
      </c>
      <c r="K7">
        <f t="shared" si="0"/>
        <v>1301.4000000000001</v>
      </c>
      <c r="L7" s="9">
        <f t="shared" si="1"/>
        <v>0.96467780429594263</v>
      </c>
      <c r="M7">
        <f t="shared" si="2"/>
        <v>0</v>
      </c>
    </row>
    <row r="8" spans="1:13" x14ac:dyDescent="0.35">
      <c r="A8" s="2">
        <v>45664</v>
      </c>
      <c r="B8">
        <v>7772</v>
      </c>
      <c r="C8">
        <v>7788</v>
      </c>
      <c r="D8">
        <v>-16</v>
      </c>
      <c r="E8">
        <v>167</v>
      </c>
      <c r="F8">
        <v>14.7</v>
      </c>
      <c r="G8">
        <v>0</v>
      </c>
      <c r="H8" t="s">
        <v>10</v>
      </c>
      <c r="I8" t="s">
        <v>11</v>
      </c>
      <c r="J8" s="2">
        <v>45664.375</v>
      </c>
      <c r="K8">
        <f t="shared" si="0"/>
        <v>38.9</v>
      </c>
      <c r="L8" s="9">
        <f t="shared" si="1"/>
        <v>4.4312500000000004</v>
      </c>
      <c r="M8">
        <f t="shared" si="2"/>
        <v>0</v>
      </c>
    </row>
    <row r="9" spans="1:13" x14ac:dyDescent="0.35">
      <c r="A9" s="2">
        <v>45665</v>
      </c>
      <c r="B9">
        <v>7092</v>
      </c>
      <c r="C9">
        <v>6162</v>
      </c>
      <c r="D9">
        <v>930</v>
      </c>
      <c r="E9">
        <v>1095</v>
      </c>
      <c r="F9">
        <v>14.9</v>
      </c>
      <c r="G9">
        <v>0</v>
      </c>
      <c r="H9" t="s">
        <v>14</v>
      </c>
      <c r="I9" t="s">
        <v>11</v>
      </c>
      <c r="J9" s="2">
        <v>45665.416666666657</v>
      </c>
      <c r="K9">
        <f t="shared" si="0"/>
        <v>979.5</v>
      </c>
      <c r="L9" s="9">
        <f t="shared" si="1"/>
        <v>0.9467741935483871</v>
      </c>
      <c r="M9">
        <f t="shared" si="2"/>
        <v>0</v>
      </c>
    </row>
    <row r="10" spans="1:13" x14ac:dyDescent="0.35">
      <c r="A10" s="2">
        <v>45666</v>
      </c>
      <c r="B10">
        <v>5638</v>
      </c>
      <c r="C10">
        <v>5908</v>
      </c>
      <c r="D10">
        <v>-270</v>
      </c>
      <c r="E10">
        <v>-133</v>
      </c>
      <c r="F10">
        <v>21.3</v>
      </c>
      <c r="G10">
        <v>0</v>
      </c>
      <c r="H10" t="s">
        <v>12</v>
      </c>
      <c r="I10" t="s">
        <v>11</v>
      </c>
      <c r="J10" s="2">
        <v>45666.333333333343</v>
      </c>
      <c r="K10">
        <f t="shared" si="0"/>
        <v>-228.9</v>
      </c>
      <c r="L10" s="9">
        <f t="shared" si="1"/>
        <v>1.1522222222222223</v>
      </c>
      <c r="M10">
        <f t="shared" si="2"/>
        <v>0</v>
      </c>
    </row>
    <row r="11" spans="1:13" x14ac:dyDescent="0.35">
      <c r="A11" s="2">
        <v>45667</v>
      </c>
      <c r="B11">
        <v>6169</v>
      </c>
      <c r="C11">
        <v>5921</v>
      </c>
      <c r="D11">
        <v>248</v>
      </c>
      <c r="E11">
        <v>241</v>
      </c>
      <c r="F11">
        <v>7.9</v>
      </c>
      <c r="G11">
        <v>0</v>
      </c>
      <c r="H11" t="s">
        <v>12</v>
      </c>
      <c r="I11" t="s">
        <v>11</v>
      </c>
      <c r="J11" s="2">
        <v>45667.666666666657</v>
      </c>
      <c r="K11">
        <f t="shared" si="0"/>
        <v>245.9</v>
      </c>
      <c r="L11" s="9">
        <f t="shared" si="1"/>
        <v>0.99153225806451617</v>
      </c>
      <c r="M11">
        <f t="shared" si="2"/>
        <v>0</v>
      </c>
    </row>
    <row r="12" spans="1:13" x14ac:dyDescent="0.35">
      <c r="A12" s="2">
        <v>45668</v>
      </c>
      <c r="B12">
        <v>4466</v>
      </c>
      <c r="C12">
        <v>3288</v>
      </c>
      <c r="D12">
        <v>1178</v>
      </c>
      <c r="E12">
        <v>1287</v>
      </c>
      <c r="F12">
        <v>17.5</v>
      </c>
      <c r="G12">
        <v>0</v>
      </c>
      <c r="H12" t="s">
        <v>10</v>
      </c>
      <c r="I12" t="s">
        <v>11</v>
      </c>
      <c r="J12" s="2">
        <v>45668.625</v>
      </c>
      <c r="K12">
        <f t="shared" si="0"/>
        <v>1210.7</v>
      </c>
      <c r="L12" s="9">
        <f t="shared" si="1"/>
        <v>0.97224108658743624</v>
      </c>
      <c r="M12">
        <f t="shared" si="2"/>
        <v>0</v>
      </c>
    </row>
    <row r="13" spans="1:13" x14ac:dyDescent="0.35">
      <c r="A13" s="2">
        <v>45669</v>
      </c>
      <c r="B13">
        <v>5238</v>
      </c>
      <c r="C13">
        <v>4544</v>
      </c>
      <c r="D13">
        <v>694</v>
      </c>
      <c r="E13">
        <v>656</v>
      </c>
      <c r="F13">
        <v>21.4</v>
      </c>
      <c r="G13">
        <v>0</v>
      </c>
      <c r="H13" t="s">
        <v>10</v>
      </c>
      <c r="I13" t="s">
        <v>11</v>
      </c>
      <c r="J13" s="2">
        <v>45669.375</v>
      </c>
      <c r="K13">
        <f t="shared" si="0"/>
        <v>682.6</v>
      </c>
      <c r="L13" s="9">
        <f t="shared" si="1"/>
        <v>0.98357348703170033</v>
      </c>
      <c r="M13">
        <f t="shared" si="2"/>
        <v>0</v>
      </c>
    </row>
    <row r="14" spans="1:13" x14ac:dyDescent="0.35">
      <c r="A14" s="2">
        <v>45670</v>
      </c>
      <c r="B14">
        <v>4330</v>
      </c>
      <c r="C14">
        <v>4290</v>
      </c>
      <c r="D14">
        <v>40</v>
      </c>
      <c r="E14">
        <v>47</v>
      </c>
      <c r="F14">
        <v>21.9</v>
      </c>
      <c r="G14">
        <v>0</v>
      </c>
      <c r="H14" t="s">
        <v>14</v>
      </c>
      <c r="I14" t="s">
        <v>11</v>
      </c>
      <c r="J14" s="2">
        <v>45670.666666666657</v>
      </c>
      <c r="K14">
        <f t="shared" si="0"/>
        <v>42.1</v>
      </c>
      <c r="L14" s="9">
        <f t="shared" si="1"/>
        <v>0.94750000000000001</v>
      </c>
      <c r="M14">
        <f t="shared" si="2"/>
        <v>0</v>
      </c>
    </row>
    <row r="15" spans="1:13" x14ac:dyDescent="0.35">
      <c r="A15" s="2">
        <v>45671</v>
      </c>
      <c r="B15">
        <v>5482</v>
      </c>
      <c r="C15">
        <v>4923</v>
      </c>
      <c r="D15">
        <v>559</v>
      </c>
      <c r="E15">
        <v>527</v>
      </c>
      <c r="F15">
        <v>11.5</v>
      </c>
      <c r="G15">
        <v>0</v>
      </c>
      <c r="H15" t="s">
        <v>14</v>
      </c>
      <c r="I15" t="s">
        <v>11</v>
      </c>
      <c r="J15" s="2">
        <v>45671.583333333343</v>
      </c>
      <c r="K15">
        <f t="shared" si="0"/>
        <v>549.4</v>
      </c>
      <c r="L15" s="9">
        <f t="shared" si="1"/>
        <v>0.9828264758497316</v>
      </c>
      <c r="M15">
        <f t="shared" si="2"/>
        <v>0</v>
      </c>
    </row>
    <row r="16" spans="1:13" x14ac:dyDescent="0.35">
      <c r="A16" s="2">
        <v>45672</v>
      </c>
      <c r="B16">
        <v>6135</v>
      </c>
      <c r="C16">
        <v>6111</v>
      </c>
      <c r="D16">
        <v>24</v>
      </c>
      <c r="E16">
        <v>-16</v>
      </c>
      <c r="F16">
        <v>13</v>
      </c>
      <c r="G16">
        <v>0</v>
      </c>
      <c r="H16" t="s">
        <v>10</v>
      </c>
      <c r="I16" t="s">
        <v>11</v>
      </c>
      <c r="J16" s="2">
        <v>45672.666666666657</v>
      </c>
      <c r="K16">
        <f t="shared" si="0"/>
        <v>12</v>
      </c>
      <c r="L16" s="9">
        <f t="shared" si="1"/>
        <v>0.5</v>
      </c>
      <c r="M16">
        <f t="shared" si="2"/>
        <v>0</v>
      </c>
    </row>
    <row r="17" spans="1:13" x14ac:dyDescent="0.35">
      <c r="A17" s="2">
        <v>45673</v>
      </c>
      <c r="B17">
        <v>7444</v>
      </c>
      <c r="C17">
        <v>6761</v>
      </c>
      <c r="D17">
        <v>683</v>
      </c>
      <c r="E17">
        <v>550</v>
      </c>
      <c r="F17">
        <v>14.3</v>
      </c>
      <c r="G17">
        <v>0</v>
      </c>
      <c r="H17" t="s">
        <v>14</v>
      </c>
      <c r="I17" t="s">
        <v>11</v>
      </c>
      <c r="J17" s="2">
        <v>45673.541666666657</v>
      </c>
      <c r="K17">
        <f t="shared" si="0"/>
        <v>643.1</v>
      </c>
      <c r="L17" s="9">
        <f t="shared" si="1"/>
        <v>0.94158125915080526</v>
      </c>
      <c r="M17">
        <f t="shared" si="2"/>
        <v>0</v>
      </c>
    </row>
    <row r="18" spans="1:13" x14ac:dyDescent="0.35">
      <c r="A18" s="2">
        <v>45674</v>
      </c>
      <c r="B18">
        <v>7171</v>
      </c>
      <c r="C18">
        <v>5809</v>
      </c>
      <c r="D18">
        <v>1362</v>
      </c>
      <c r="E18">
        <v>1450</v>
      </c>
      <c r="F18">
        <v>19.100000000000001</v>
      </c>
      <c r="G18">
        <v>0</v>
      </c>
      <c r="H18" t="s">
        <v>10</v>
      </c>
      <c r="I18" t="s">
        <v>13</v>
      </c>
      <c r="J18" s="2">
        <v>45674.541666666657</v>
      </c>
      <c r="K18">
        <f t="shared" si="0"/>
        <v>1388.4</v>
      </c>
      <c r="L18" s="9">
        <f t="shared" si="1"/>
        <v>0.98061674008810562</v>
      </c>
      <c r="M18">
        <f t="shared" si="2"/>
        <v>0</v>
      </c>
    </row>
    <row r="19" spans="1:13" x14ac:dyDescent="0.35">
      <c r="A19" s="2">
        <v>45675</v>
      </c>
      <c r="B19">
        <v>6919</v>
      </c>
      <c r="C19">
        <v>5697</v>
      </c>
      <c r="D19">
        <v>1222</v>
      </c>
      <c r="E19">
        <v>1419</v>
      </c>
      <c r="F19">
        <v>13.7</v>
      </c>
      <c r="G19">
        <v>0</v>
      </c>
      <c r="H19" t="s">
        <v>14</v>
      </c>
      <c r="I19" t="s">
        <v>11</v>
      </c>
      <c r="J19" s="2">
        <v>45675.458333333343</v>
      </c>
      <c r="K19">
        <f t="shared" si="0"/>
        <v>1281.0999999999999</v>
      </c>
      <c r="L19" s="9">
        <f t="shared" si="1"/>
        <v>0.95163666121112933</v>
      </c>
      <c r="M19">
        <f t="shared" si="2"/>
        <v>0</v>
      </c>
    </row>
    <row r="20" spans="1:13" x14ac:dyDescent="0.35">
      <c r="A20" s="2">
        <v>45676</v>
      </c>
      <c r="B20">
        <v>7735</v>
      </c>
      <c r="C20">
        <v>6969</v>
      </c>
      <c r="D20">
        <v>766</v>
      </c>
      <c r="E20">
        <v>842</v>
      </c>
      <c r="F20">
        <v>14.9</v>
      </c>
      <c r="G20">
        <v>0</v>
      </c>
      <c r="H20" t="s">
        <v>10</v>
      </c>
      <c r="I20" t="s">
        <v>11</v>
      </c>
      <c r="J20" s="2">
        <v>45676.708333333343</v>
      </c>
      <c r="K20">
        <f t="shared" si="0"/>
        <v>788.8</v>
      </c>
      <c r="L20" s="9">
        <f t="shared" si="1"/>
        <v>0.97023498694516974</v>
      </c>
      <c r="M20">
        <f t="shared" si="2"/>
        <v>0</v>
      </c>
    </row>
    <row r="21" spans="1:13" x14ac:dyDescent="0.35">
      <c r="A21" s="2">
        <v>45677</v>
      </c>
      <c r="B21">
        <v>4130</v>
      </c>
      <c r="C21">
        <v>3521</v>
      </c>
      <c r="D21">
        <v>609</v>
      </c>
      <c r="E21">
        <v>712</v>
      </c>
      <c r="F21">
        <v>14.6</v>
      </c>
      <c r="G21">
        <v>0</v>
      </c>
      <c r="H21" t="s">
        <v>10</v>
      </c>
      <c r="I21" t="s">
        <v>11</v>
      </c>
      <c r="J21" s="2">
        <v>45677.708333333343</v>
      </c>
      <c r="K21">
        <f t="shared" si="0"/>
        <v>639.9</v>
      </c>
      <c r="L21" s="9">
        <f t="shared" si="1"/>
        <v>0.94926108374384244</v>
      </c>
      <c r="M21">
        <f t="shared" si="2"/>
        <v>0</v>
      </c>
    </row>
    <row r="22" spans="1:13" x14ac:dyDescent="0.35">
      <c r="A22" s="2">
        <v>45678</v>
      </c>
      <c r="B22">
        <v>5685</v>
      </c>
      <c r="C22">
        <v>4366</v>
      </c>
      <c r="D22">
        <v>1319</v>
      </c>
      <c r="E22">
        <v>1502</v>
      </c>
      <c r="F22">
        <v>12.3</v>
      </c>
      <c r="G22">
        <v>0</v>
      </c>
      <c r="H22" t="s">
        <v>10</v>
      </c>
      <c r="I22" t="s">
        <v>11</v>
      </c>
      <c r="J22" s="2">
        <v>45678.375</v>
      </c>
      <c r="K22">
        <f t="shared" si="0"/>
        <v>1373.9</v>
      </c>
      <c r="L22" s="9">
        <f t="shared" si="1"/>
        <v>0.95837755875663377</v>
      </c>
      <c r="M22">
        <f t="shared" si="2"/>
        <v>0</v>
      </c>
    </row>
    <row r="23" spans="1:13" x14ac:dyDescent="0.35">
      <c r="A23" s="2">
        <v>45679</v>
      </c>
      <c r="B23">
        <v>7380</v>
      </c>
      <c r="C23">
        <v>7303</v>
      </c>
      <c r="D23">
        <v>77</v>
      </c>
      <c r="E23">
        <v>268</v>
      </c>
      <c r="F23">
        <v>9.8000000000000007</v>
      </c>
      <c r="G23">
        <v>0</v>
      </c>
      <c r="H23" t="s">
        <v>14</v>
      </c>
      <c r="I23" t="s">
        <v>11</v>
      </c>
      <c r="J23" s="2">
        <v>45679.583333333343</v>
      </c>
      <c r="K23">
        <f t="shared" si="0"/>
        <v>134.30000000000001</v>
      </c>
      <c r="L23" s="9">
        <f t="shared" si="1"/>
        <v>0.25584415584415565</v>
      </c>
      <c r="M23">
        <f t="shared" si="2"/>
        <v>0</v>
      </c>
    </row>
    <row r="24" spans="1:13" x14ac:dyDescent="0.35">
      <c r="A24" s="2">
        <v>45680</v>
      </c>
      <c r="B24">
        <v>4769</v>
      </c>
      <c r="C24">
        <v>4588</v>
      </c>
      <c r="D24">
        <v>181</v>
      </c>
      <c r="E24">
        <v>115</v>
      </c>
      <c r="F24">
        <v>15.9</v>
      </c>
      <c r="G24">
        <v>0</v>
      </c>
      <c r="H24" t="s">
        <v>14</v>
      </c>
      <c r="I24" t="s">
        <v>11</v>
      </c>
      <c r="J24" s="2">
        <v>45680.5</v>
      </c>
      <c r="K24">
        <f t="shared" si="0"/>
        <v>161.19999999999999</v>
      </c>
      <c r="L24" s="9">
        <f t="shared" si="1"/>
        <v>0.8906077348066298</v>
      </c>
      <c r="M24">
        <f t="shared" si="2"/>
        <v>0</v>
      </c>
    </row>
    <row r="25" spans="1:13" x14ac:dyDescent="0.35">
      <c r="A25" s="2">
        <v>45681</v>
      </c>
      <c r="B25">
        <v>6391</v>
      </c>
      <c r="C25">
        <v>6335</v>
      </c>
      <c r="D25">
        <v>56</v>
      </c>
      <c r="E25">
        <v>50</v>
      </c>
      <c r="F25">
        <v>15.5</v>
      </c>
      <c r="G25">
        <v>0</v>
      </c>
      <c r="H25" t="s">
        <v>14</v>
      </c>
      <c r="I25" t="s">
        <v>11</v>
      </c>
      <c r="J25" s="2">
        <v>45681.541666666657</v>
      </c>
      <c r="K25">
        <f t="shared" si="0"/>
        <v>54.2</v>
      </c>
      <c r="L25" s="9">
        <f t="shared" si="1"/>
        <v>0.96785714285714286</v>
      </c>
      <c r="M25">
        <f t="shared" si="2"/>
        <v>0</v>
      </c>
    </row>
    <row r="26" spans="1:13" x14ac:dyDescent="0.35">
      <c r="A26" s="2">
        <v>45682</v>
      </c>
      <c r="B26">
        <v>5515</v>
      </c>
      <c r="C26">
        <v>4418</v>
      </c>
      <c r="D26">
        <v>1097</v>
      </c>
      <c r="E26">
        <v>1024</v>
      </c>
      <c r="F26">
        <v>10.8</v>
      </c>
      <c r="G26">
        <v>0</v>
      </c>
      <c r="H26" t="s">
        <v>10</v>
      </c>
      <c r="I26" t="s">
        <v>11</v>
      </c>
      <c r="J26" s="2">
        <v>45682.375</v>
      </c>
      <c r="K26">
        <f t="shared" si="0"/>
        <v>1075.0999999999999</v>
      </c>
      <c r="L26" s="9">
        <f t="shared" si="1"/>
        <v>0.98003646308113024</v>
      </c>
      <c r="M26">
        <f t="shared" si="2"/>
        <v>0</v>
      </c>
    </row>
    <row r="27" spans="1:13" x14ac:dyDescent="0.35">
      <c r="A27" s="2">
        <v>45683</v>
      </c>
      <c r="B27">
        <v>7485</v>
      </c>
      <c r="C27">
        <v>6009</v>
      </c>
      <c r="D27">
        <v>1476</v>
      </c>
      <c r="E27">
        <v>1308</v>
      </c>
      <c r="F27">
        <v>11.7</v>
      </c>
      <c r="G27">
        <v>0</v>
      </c>
      <c r="H27" t="s">
        <v>14</v>
      </c>
      <c r="I27" t="s">
        <v>11</v>
      </c>
      <c r="J27" s="2">
        <v>45683.5</v>
      </c>
      <c r="K27">
        <f t="shared" si="0"/>
        <v>1425.6</v>
      </c>
      <c r="L27" s="9">
        <f t="shared" si="1"/>
        <v>0.96585365853658534</v>
      </c>
      <c r="M27">
        <f t="shared" si="2"/>
        <v>0</v>
      </c>
    </row>
    <row r="28" spans="1:13" x14ac:dyDescent="0.35">
      <c r="A28" s="2">
        <v>45684</v>
      </c>
      <c r="B28">
        <v>6853</v>
      </c>
      <c r="C28">
        <v>6341</v>
      </c>
      <c r="D28">
        <v>512</v>
      </c>
      <c r="E28">
        <v>487</v>
      </c>
      <c r="F28">
        <v>17.600000000000001</v>
      </c>
      <c r="G28">
        <v>0</v>
      </c>
      <c r="H28" t="s">
        <v>14</v>
      </c>
      <c r="I28" t="s">
        <v>13</v>
      </c>
      <c r="J28" s="2">
        <v>45684.708333333343</v>
      </c>
      <c r="K28">
        <f t="shared" si="0"/>
        <v>504.5</v>
      </c>
      <c r="L28" s="9">
        <f t="shared" si="1"/>
        <v>0.9853515625</v>
      </c>
      <c r="M28">
        <f t="shared" si="2"/>
        <v>0</v>
      </c>
    </row>
    <row r="29" spans="1:13" x14ac:dyDescent="0.35">
      <c r="A29" s="2">
        <v>45685</v>
      </c>
      <c r="B29">
        <v>6433</v>
      </c>
      <c r="C29">
        <v>6288</v>
      </c>
      <c r="D29">
        <v>145</v>
      </c>
      <c r="E29">
        <v>315</v>
      </c>
      <c r="F29">
        <v>14.5</v>
      </c>
      <c r="G29">
        <v>0</v>
      </c>
      <c r="H29" t="s">
        <v>10</v>
      </c>
      <c r="I29" t="s">
        <v>11</v>
      </c>
      <c r="J29" s="2">
        <v>45685.458333333343</v>
      </c>
      <c r="K29">
        <f t="shared" si="0"/>
        <v>196</v>
      </c>
      <c r="L29" s="9">
        <f t="shared" si="1"/>
        <v>0.64827586206896548</v>
      </c>
      <c r="M29">
        <f t="shared" si="2"/>
        <v>0</v>
      </c>
    </row>
    <row r="30" spans="1:13" x14ac:dyDescent="0.35">
      <c r="A30" s="2">
        <v>45686</v>
      </c>
      <c r="B30">
        <v>5215</v>
      </c>
      <c r="C30">
        <v>4920</v>
      </c>
      <c r="D30">
        <v>295</v>
      </c>
      <c r="E30">
        <v>469</v>
      </c>
      <c r="F30">
        <v>10.3</v>
      </c>
      <c r="G30">
        <v>0</v>
      </c>
      <c r="H30" t="s">
        <v>12</v>
      </c>
      <c r="I30" t="s">
        <v>11</v>
      </c>
      <c r="J30" s="2">
        <v>45686.666666666657</v>
      </c>
      <c r="K30">
        <f t="shared" si="0"/>
        <v>347.2</v>
      </c>
      <c r="L30" s="9">
        <f t="shared" si="1"/>
        <v>0.82305084745762713</v>
      </c>
      <c r="M30">
        <f t="shared" si="2"/>
        <v>0</v>
      </c>
    </row>
    <row r="31" spans="1:13" x14ac:dyDescent="0.35">
      <c r="A31" s="2">
        <v>45687</v>
      </c>
      <c r="B31">
        <v>4955</v>
      </c>
      <c r="C31">
        <v>4404</v>
      </c>
      <c r="D31">
        <v>551</v>
      </c>
      <c r="E31">
        <v>372</v>
      </c>
      <c r="F31">
        <v>15</v>
      </c>
      <c r="G31">
        <v>0</v>
      </c>
      <c r="H31" t="s">
        <v>10</v>
      </c>
      <c r="I31" t="s">
        <v>13</v>
      </c>
      <c r="J31" s="2">
        <v>45687.541666666657</v>
      </c>
      <c r="K31">
        <f t="shared" si="0"/>
        <v>497.3</v>
      </c>
      <c r="L31" s="9">
        <f t="shared" si="1"/>
        <v>0.90254083484573511</v>
      </c>
      <c r="M31">
        <f t="shared" si="2"/>
        <v>0</v>
      </c>
    </row>
    <row r="32" spans="1:13" x14ac:dyDescent="0.35">
      <c r="A32" s="2">
        <v>45688</v>
      </c>
      <c r="B32">
        <v>6324</v>
      </c>
      <c r="C32">
        <v>5181</v>
      </c>
      <c r="D32">
        <v>1143</v>
      </c>
      <c r="E32">
        <v>1180</v>
      </c>
      <c r="F32">
        <v>13.8</v>
      </c>
      <c r="G32">
        <v>0</v>
      </c>
      <c r="H32" t="s">
        <v>14</v>
      </c>
      <c r="I32" t="s">
        <v>11</v>
      </c>
      <c r="J32" s="2">
        <v>45688.375</v>
      </c>
      <c r="K32">
        <f t="shared" si="0"/>
        <v>1154.0999999999999</v>
      </c>
      <c r="L32" s="9">
        <f t="shared" si="1"/>
        <v>0.99028871391076123</v>
      </c>
      <c r="M32">
        <f t="shared" si="2"/>
        <v>0</v>
      </c>
    </row>
    <row r="33" spans="1:13" x14ac:dyDescent="0.35">
      <c r="A33" s="2">
        <v>45689</v>
      </c>
      <c r="B33">
        <v>5184</v>
      </c>
      <c r="C33">
        <v>4105</v>
      </c>
      <c r="D33">
        <v>1079</v>
      </c>
      <c r="E33">
        <v>1036</v>
      </c>
      <c r="F33">
        <v>12.5</v>
      </c>
      <c r="G33">
        <v>0</v>
      </c>
      <c r="H33" t="s">
        <v>10</v>
      </c>
      <c r="I33" t="s">
        <v>11</v>
      </c>
      <c r="J33" s="2">
        <v>45689.333333333343</v>
      </c>
      <c r="K33">
        <f t="shared" si="0"/>
        <v>1066.0999999999999</v>
      </c>
      <c r="L33" s="9">
        <f t="shared" si="1"/>
        <v>0.98804448563484704</v>
      </c>
      <c r="M33">
        <f t="shared" si="2"/>
        <v>0</v>
      </c>
    </row>
    <row r="34" spans="1:13" x14ac:dyDescent="0.35">
      <c r="A34" s="2">
        <v>45690</v>
      </c>
      <c r="B34">
        <v>4459</v>
      </c>
      <c r="C34">
        <v>3596</v>
      </c>
      <c r="D34">
        <v>863</v>
      </c>
      <c r="E34">
        <v>700</v>
      </c>
      <c r="F34">
        <v>14.4</v>
      </c>
      <c r="G34">
        <v>0</v>
      </c>
      <c r="H34" t="s">
        <v>12</v>
      </c>
      <c r="I34" t="s">
        <v>13</v>
      </c>
      <c r="J34" s="2">
        <v>45690.5</v>
      </c>
      <c r="K34">
        <f t="shared" si="0"/>
        <v>814.1</v>
      </c>
      <c r="L34" s="9">
        <f t="shared" si="1"/>
        <v>0.94333719582850528</v>
      </c>
      <c r="M34">
        <f t="shared" si="2"/>
        <v>0</v>
      </c>
    </row>
    <row r="35" spans="1:13" x14ac:dyDescent="0.35">
      <c r="A35" s="2">
        <v>45691</v>
      </c>
      <c r="B35">
        <v>7385</v>
      </c>
      <c r="C35">
        <v>6064</v>
      </c>
      <c r="D35">
        <v>1321</v>
      </c>
      <c r="E35">
        <v>1350</v>
      </c>
      <c r="F35">
        <v>16</v>
      </c>
      <c r="G35">
        <v>0</v>
      </c>
      <c r="H35" t="s">
        <v>10</v>
      </c>
      <c r="I35" t="s">
        <v>11</v>
      </c>
      <c r="J35" s="2">
        <v>45691.666666666657</v>
      </c>
      <c r="K35">
        <f t="shared" si="0"/>
        <v>1329.7</v>
      </c>
      <c r="L35" s="9">
        <f t="shared" si="1"/>
        <v>0.99341408024224065</v>
      </c>
      <c r="M35">
        <f t="shared" si="2"/>
        <v>0</v>
      </c>
    </row>
    <row r="36" spans="1:13" x14ac:dyDescent="0.35">
      <c r="A36" s="2">
        <v>45692</v>
      </c>
      <c r="B36">
        <v>4021</v>
      </c>
      <c r="C36">
        <v>2540</v>
      </c>
      <c r="D36">
        <v>1481</v>
      </c>
      <c r="E36">
        <v>1645</v>
      </c>
      <c r="F36">
        <v>14.9</v>
      </c>
      <c r="G36">
        <v>0</v>
      </c>
      <c r="H36" t="s">
        <v>14</v>
      </c>
      <c r="I36" t="s">
        <v>11</v>
      </c>
      <c r="J36" s="2">
        <v>45692.541666666657</v>
      </c>
      <c r="K36">
        <f t="shared" si="0"/>
        <v>1530.2</v>
      </c>
      <c r="L36" s="9">
        <f t="shared" si="1"/>
        <v>0.96677920324105326</v>
      </c>
      <c r="M36">
        <f t="shared" si="2"/>
        <v>0</v>
      </c>
    </row>
    <row r="37" spans="1:13" x14ac:dyDescent="0.35">
      <c r="A37" s="2">
        <v>45693</v>
      </c>
      <c r="B37">
        <v>6300</v>
      </c>
      <c r="C37">
        <v>5446</v>
      </c>
      <c r="D37">
        <v>854</v>
      </c>
      <c r="E37">
        <v>704</v>
      </c>
      <c r="F37">
        <v>17.5</v>
      </c>
      <c r="G37">
        <v>0</v>
      </c>
      <c r="H37" t="s">
        <v>12</v>
      </c>
      <c r="I37" t="s">
        <v>11</v>
      </c>
      <c r="J37" s="2">
        <v>45693.708333333343</v>
      </c>
      <c r="K37">
        <f t="shared" si="0"/>
        <v>809</v>
      </c>
      <c r="L37" s="9">
        <f t="shared" si="1"/>
        <v>0.9473067915690867</v>
      </c>
      <c r="M37">
        <f t="shared" si="2"/>
        <v>0</v>
      </c>
    </row>
    <row r="38" spans="1:13" x14ac:dyDescent="0.35">
      <c r="A38" s="2">
        <v>45694</v>
      </c>
      <c r="B38">
        <v>4747</v>
      </c>
      <c r="C38">
        <v>3584</v>
      </c>
      <c r="D38">
        <v>1163</v>
      </c>
      <c r="E38">
        <v>1226</v>
      </c>
      <c r="F38">
        <v>12</v>
      </c>
      <c r="G38">
        <v>0</v>
      </c>
      <c r="H38" t="s">
        <v>14</v>
      </c>
      <c r="I38" t="s">
        <v>11</v>
      </c>
      <c r="J38" s="2">
        <v>45694.583333333343</v>
      </c>
      <c r="K38">
        <f t="shared" si="0"/>
        <v>1181.9000000000001</v>
      </c>
      <c r="L38" s="9">
        <f t="shared" si="1"/>
        <v>0.98374892519346513</v>
      </c>
      <c r="M38">
        <f t="shared" si="2"/>
        <v>0</v>
      </c>
    </row>
    <row r="39" spans="1:13" x14ac:dyDescent="0.35">
      <c r="A39" s="2">
        <v>45695</v>
      </c>
      <c r="B39">
        <v>6904</v>
      </c>
      <c r="C39">
        <v>5875</v>
      </c>
      <c r="D39">
        <v>1029</v>
      </c>
      <c r="E39">
        <v>1111</v>
      </c>
      <c r="F39">
        <v>13.1</v>
      </c>
      <c r="G39">
        <v>0</v>
      </c>
      <c r="H39" t="s">
        <v>12</v>
      </c>
      <c r="I39" t="s">
        <v>11</v>
      </c>
      <c r="J39" s="2">
        <v>45695.5</v>
      </c>
      <c r="K39">
        <f t="shared" si="0"/>
        <v>1053.5999999999999</v>
      </c>
      <c r="L39" s="9">
        <f t="shared" si="1"/>
        <v>0.97609329446064153</v>
      </c>
      <c r="M39">
        <f t="shared" si="2"/>
        <v>0</v>
      </c>
    </row>
    <row r="40" spans="1:13" x14ac:dyDescent="0.35">
      <c r="A40" s="2">
        <v>45696</v>
      </c>
      <c r="B40">
        <v>7632</v>
      </c>
      <c r="C40">
        <v>6761</v>
      </c>
      <c r="D40">
        <v>871</v>
      </c>
      <c r="E40">
        <v>697</v>
      </c>
      <c r="F40">
        <v>11.2</v>
      </c>
      <c r="G40">
        <v>0</v>
      </c>
      <c r="H40" t="s">
        <v>12</v>
      </c>
      <c r="I40" t="s">
        <v>11</v>
      </c>
      <c r="J40" s="2">
        <v>45696.708333333343</v>
      </c>
      <c r="K40">
        <f t="shared" si="0"/>
        <v>818.8</v>
      </c>
      <c r="L40" s="9">
        <f t="shared" si="1"/>
        <v>0.94006888633754304</v>
      </c>
      <c r="M40">
        <f t="shared" si="2"/>
        <v>0</v>
      </c>
    </row>
    <row r="41" spans="1:13" x14ac:dyDescent="0.35">
      <c r="A41" s="2">
        <v>45697</v>
      </c>
      <c r="B41">
        <v>4474</v>
      </c>
      <c r="C41">
        <v>3478</v>
      </c>
      <c r="D41">
        <v>996</v>
      </c>
      <c r="E41">
        <v>1021</v>
      </c>
      <c r="F41">
        <v>12.5</v>
      </c>
      <c r="G41">
        <v>0</v>
      </c>
      <c r="H41" t="s">
        <v>10</v>
      </c>
      <c r="I41" t="s">
        <v>13</v>
      </c>
      <c r="J41" s="2">
        <v>45697.541666666657</v>
      </c>
      <c r="K41">
        <f t="shared" si="0"/>
        <v>1003.5</v>
      </c>
      <c r="L41" s="9">
        <f t="shared" si="1"/>
        <v>0.99246987951807231</v>
      </c>
      <c r="M41">
        <f t="shared" si="2"/>
        <v>0</v>
      </c>
    </row>
    <row r="42" spans="1:13" x14ac:dyDescent="0.35">
      <c r="A42" s="2">
        <v>45698</v>
      </c>
      <c r="B42">
        <v>5082</v>
      </c>
      <c r="C42">
        <v>4328</v>
      </c>
      <c r="D42">
        <v>754</v>
      </c>
      <c r="E42">
        <v>830</v>
      </c>
      <c r="F42">
        <v>10.8</v>
      </c>
      <c r="G42">
        <v>0</v>
      </c>
      <c r="H42" t="s">
        <v>10</v>
      </c>
      <c r="I42" t="s">
        <v>11</v>
      </c>
      <c r="J42" s="2">
        <v>45698.5</v>
      </c>
      <c r="K42">
        <f t="shared" si="0"/>
        <v>776.8</v>
      </c>
      <c r="L42" s="9">
        <f t="shared" si="1"/>
        <v>0.96976127320954908</v>
      </c>
      <c r="M42">
        <f t="shared" si="2"/>
        <v>0</v>
      </c>
    </row>
    <row r="43" spans="1:13" x14ac:dyDescent="0.35">
      <c r="A43" s="2">
        <v>45699</v>
      </c>
      <c r="B43">
        <v>6558</v>
      </c>
      <c r="C43">
        <v>6869</v>
      </c>
      <c r="D43">
        <v>-311</v>
      </c>
      <c r="E43">
        <v>-226</v>
      </c>
      <c r="F43">
        <v>17.8</v>
      </c>
      <c r="G43">
        <v>0</v>
      </c>
      <c r="H43" t="s">
        <v>14</v>
      </c>
      <c r="I43" t="s">
        <v>11</v>
      </c>
      <c r="J43" s="2">
        <v>45699.666666666657</v>
      </c>
      <c r="K43">
        <f t="shared" si="0"/>
        <v>-285.5</v>
      </c>
      <c r="L43" s="9">
        <f t="shared" si="1"/>
        <v>1.0819935691318328</v>
      </c>
      <c r="M43">
        <f t="shared" si="2"/>
        <v>0</v>
      </c>
    </row>
    <row r="44" spans="1:13" x14ac:dyDescent="0.35">
      <c r="A44" s="2">
        <v>45700</v>
      </c>
      <c r="B44">
        <v>7753</v>
      </c>
      <c r="C44">
        <v>7005</v>
      </c>
      <c r="D44">
        <v>748</v>
      </c>
      <c r="E44">
        <v>644</v>
      </c>
      <c r="F44">
        <v>12.2</v>
      </c>
      <c r="G44">
        <v>0</v>
      </c>
      <c r="H44" t="s">
        <v>10</v>
      </c>
      <c r="I44" t="s">
        <v>11</v>
      </c>
      <c r="J44" s="2">
        <v>45700.541666666657</v>
      </c>
      <c r="K44">
        <f t="shared" si="0"/>
        <v>716.8</v>
      </c>
      <c r="L44" s="9">
        <f t="shared" si="1"/>
        <v>0.9582887700534759</v>
      </c>
      <c r="M44">
        <f t="shared" si="2"/>
        <v>0</v>
      </c>
    </row>
    <row r="45" spans="1:13" x14ac:dyDescent="0.35">
      <c r="A45" s="2">
        <v>45701</v>
      </c>
      <c r="B45">
        <v>6047</v>
      </c>
      <c r="C45">
        <v>5139</v>
      </c>
      <c r="D45">
        <v>908</v>
      </c>
      <c r="E45">
        <v>991</v>
      </c>
      <c r="F45">
        <v>14.8</v>
      </c>
      <c r="G45">
        <v>0</v>
      </c>
      <c r="H45" t="s">
        <v>10</v>
      </c>
      <c r="I45" t="s">
        <v>11</v>
      </c>
      <c r="J45" s="2">
        <v>45701.625</v>
      </c>
      <c r="K45">
        <f t="shared" si="0"/>
        <v>932.9</v>
      </c>
      <c r="L45" s="9">
        <f t="shared" si="1"/>
        <v>0.97257709251101321</v>
      </c>
      <c r="M45">
        <f t="shared" si="2"/>
        <v>0</v>
      </c>
    </row>
    <row r="46" spans="1:13" x14ac:dyDescent="0.35">
      <c r="A46" s="2">
        <v>45702</v>
      </c>
      <c r="B46">
        <v>7547</v>
      </c>
      <c r="C46">
        <v>6647</v>
      </c>
      <c r="D46">
        <v>900</v>
      </c>
      <c r="E46">
        <v>1066</v>
      </c>
      <c r="F46">
        <v>11.1</v>
      </c>
      <c r="G46">
        <v>0</v>
      </c>
      <c r="H46" t="s">
        <v>12</v>
      </c>
      <c r="I46" t="s">
        <v>11</v>
      </c>
      <c r="J46" s="2">
        <v>45702.375</v>
      </c>
      <c r="K46">
        <f t="shared" si="0"/>
        <v>949.8</v>
      </c>
      <c r="L46" s="9">
        <f t="shared" si="1"/>
        <v>0.94466666666666677</v>
      </c>
      <c r="M46">
        <f t="shared" si="2"/>
        <v>0</v>
      </c>
    </row>
    <row r="47" spans="1:13" x14ac:dyDescent="0.35">
      <c r="A47" s="2">
        <v>45703</v>
      </c>
      <c r="B47">
        <v>6747</v>
      </c>
      <c r="C47">
        <v>5941</v>
      </c>
      <c r="D47">
        <v>806</v>
      </c>
      <c r="E47">
        <v>922</v>
      </c>
      <c r="F47">
        <v>12.2</v>
      </c>
      <c r="G47">
        <v>0</v>
      </c>
      <c r="H47" t="s">
        <v>10</v>
      </c>
      <c r="I47" t="s">
        <v>11</v>
      </c>
      <c r="J47" s="2">
        <v>45703.666666666657</v>
      </c>
      <c r="K47">
        <f t="shared" si="0"/>
        <v>840.8</v>
      </c>
      <c r="L47" s="9">
        <f t="shared" si="1"/>
        <v>0.95682382133995048</v>
      </c>
      <c r="M47">
        <f t="shared" si="2"/>
        <v>0</v>
      </c>
    </row>
    <row r="48" spans="1:13" x14ac:dyDescent="0.35">
      <c r="A48" s="2">
        <v>45704</v>
      </c>
      <c r="B48">
        <v>4975</v>
      </c>
      <c r="C48">
        <v>3494</v>
      </c>
      <c r="D48">
        <v>1481</v>
      </c>
      <c r="E48">
        <v>1584</v>
      </c>
      <c r="F48">
        <v>8.6999999999999993</v>
      </c>
      <c r="G48">
        <v>0</v>
      </c>
      <c r="H48" t="s">
        <v>12</v>
      </c>
      <c r="I48" t="s">
        <v>11</v>
      </c>
      <c r="J48" s="2">
        <v>45704.5</v>
      </c>
      <c r="K48">
        <f t="shared" si="0"/>
        <v>1511.9</v>
      </c>
      <c r="L48" s="9">
        <f t="shared" si="1"/>
        <v>0.97913571910871022</v>
      </c>
      <c r="M48">
        <f t="shared" si="2"/>
        <v>0</v>
      </c>
    </row>
    <row r="49" spans="1:13" x14ac:dyDescent="0.35">
      <c r="A49" s="2">
        <v>45705</v>
      </c>
      <c r="B49">
        <v>5806</v>
      </c>
      <c r="C49">
        <v>5674</v>
      </c>
      <c r="D49">
        <v>132</v>
      </c>
      <c r="E49">
        <v>78</v>
      </c>
      <c r="F49">
        <v>14</v>
      </c>
      <c r="G49">
        <v>0</v>
      </c>
      <c r="H49" t="s">
        <v>12</v>
      </c>
      <c r="I49" t="s">
        <v>11</v>
      </c>
      <c r="J49" s="2">
        <v>45705.583333333343</v>
      </c>
      <c r="K49">
        <f t="shared" si="0"/>
        <v>115.8</v>
      </c>
      <c r="L49" s="9">
        <f t="shared" si="1"/>
        <v>0.8772727272727272</v>
      </c>
      <c r="M49">
        <f t="shared" si="2"/>
        <v>0</v>
      </c>
    </row>
    <row r="50" spans="1:13" x14ac:dyDescent="0.35">
      <c r="A50" s="2">
        <v>45706</v>
      </c>
      <c r="B50">
        <v>4189</v>
      </c>
      <c r="C50">
        <v>4062</v>
      </c>
      <c r="D50">
        <v>127</v>
      </c>
      <c r="E50">
        <v>-70</v>
      </c>
      <c r="F50">
        <v>19.2</v>
      </c>
      <c r="G50">
        <v>0</v>
      </c>
      <c r="H50" t="s">
        <v>12</v>
      </c>
      <c r="I50" t="s">
        <v>13</v>
      </c>
      <c r="J50" s="2">
        <v>45706.708333333343</v>
      </c>
      <c r="K50">
        <f t="shared" si="0"/>
        <v>67.900000000000006</v>
      </c>
      <c r="L50" s="9">
        <f t="shared" si="1"/>
        <v>0.53464566929133861</v>
      </c>
      <c r="M50">
        <f t="shared" si="2"/>
        <v>0</v>
      </c>
    </row>
    <row r="51" spans="1:13" x14ac:dyDescent="0.35">
      <c r="A51" s="2">
        <v>45707</v>
      </c>
      <c r="B51">
        <v>7005</v>
      </c>
      <c r="C51">
        <v>6533</v>
      </c>
      <c r="D51">
        <v>472</v>
      </c>
      <c r="E51">
        <v>306</v>
      </c>
      <c r="F51">
        <v>14.2</v>
      </c>
      <c r="G51">
        <v>0</v>
      </c>
      <c r="H51" t="s">
        <v>14</v>
      </c>
      <c r="I51" t="s">
        <v>11</v>
      </c>
      <c r="J51" s="2">
        <v>45707.333333333343</v>
      </c>
      <c r="K51">
        <f t="shared" si="0"/>
        <v>422.2</v>
      </c>
      <c r="L51" s="9">
        <f t="shared" si="1"/>
        <v>0.89449152542372878</v>
      </c>
      <c r="M51">
        <f t="shared" si="2"/>
        <v>0</v>
      </c>
    </row>
    <row r="52" spans="1:13" x14ac:dyDescent="0.35">
      <c r="A52" s="2">
        <v>45708</v>
      </c>
      <c r="B52">
        <v>6734</v>
      </c>
      <c r="C52">
        <v>5466</v>
      </c>
      <c r="D52">
        <v>1268</v>
      </c>
      <c r="E52">
        <v>1259</v>
      </c>
      <c r="F52">
        <v>16.7</v>
      </c>
      <c r="G52">
        <v>0</v>
      </c>
      <c r="H52" t="s">
        <v>14</v>
      </c>
      <c r="I52" t="s">
        <v>11</v>
      </c>
      <c r="J52" s="2">
        <v>45708.708333333343</v>
      </c>
      <c r="K52">
        <f t="shared" si="0"/>
        <v>1265.3</v>
      </c>
      <c r="L52" s="9">
        <f t="shared" si="1"/>
        <v>0.99787066246056777</v>
      </c>
      <c r="M52">
        <f t="shared" si="2"/>
        <v>0</v>
      </c>
    </row>
    <row r="53" spans="1:13" x14ac:dyDescent="0.35">
      <c r="A53" s="2">
        <v>45709</v>
      </c>
      <c r="B53">
        <v>7005</v>
      </c>
      <c r="C53">
        <v>6223</v>
      </c>
      <c r="D53">
        <v>782</v>
      </c>
      <c r="E53">
        <v>630</v>
      </c>
      <c r="F53">
        <v>19.3</v>
      </c>
      <c r="G53">
        <v>0</v>
      </c>
      <c r="H53" t="s">
        <v>14</v>
      </c>
      <c r="I53" t="s">
        <v>11</v>
      </c>
      <c r="J53" s="2">
        <v>45709.5</v>
      </c>
      <c r="K53">
        <f t="shared" si="0"/>
        <v>736.4</v>
      </c>
      <c r="L53" s="9">
        <f t="shared" si="1"/>
        <v>0.9416879795396419</v>
      </c>
      <c r="M53">
        <f t="shared" si="2"/>
        <v>0</v>
      </c>
    </row>
    <row r="54" spans="1:13" x14ac:dyDescent="0.35">
      <c r="A54" s="2">
        <v>45710</v>
      </c>
      <c r="B54">
        <v>4562</v>
      </c>
      <c r="C54">
        <v>3680</v>
      </c>
      <c r="D54">
        <v>882</v>
      </c>
      <c r="E54">
        <v>698</v>
      </c>
      <c r="F54">
        <v>11.1</v>
      </c>
      <c r="G54">
        <v>0</v>
      </c>
      <c r="H54" t="s">
        <v>12</v>
      </c>
      <c r="I54" t="s">
        <v>11</v>
      </c>
      <c r="J54" s="2">
        <v>45710.708333333343</v>
      </c>
      <c r="K54">
        <f t="shared" si="0"/>
        <v>826.8</v>
      </c>
      <c r="L54" s="9">
        <f t="shared" si="1"/>
        <v>0.93741496598639451</v>
      </c>
      <c r="M54">
        <f t="shared" si="2"/>
        <v>0</v>
      </c>
    </row>
    <row r="55" spans="1:13" x14ac:dyDescent="0.35">
      <c r="A55" s="2">
        <v>45711</v>
      </c>
      <c r="B55">
        <v>5899</v>
      </c>
      <c r="C55">
        <v>5690</v>
      </c>
      <c r="D55">
        <v>209</v>
      </c>
      <c r="E55">
        <v>180</v>
      </c>
      <c r="F55">
        <v>11.3</v>
      </c>
      <c r="G55">
        <v>0</v>
      </c>
      <c r="H55" t="s">
        <v>14</v>
      </c>
      <c r="I55" t="s">
        <v>11</v>
      </c>
      <c r="J55" s="2">
        <v>45711.375</v>
      </c>
      <c r="K55">
        <f t="shared" si="0"/>
        <v>200.3</v>
      </c>
      <c r="L55" s="9">
        <f t="shared" si="1"/>
        <v>0.95837320574162688</v>
      </c>
      <c r="M55">
        <f t="shared" si="2"/>
        <v>0</v>
      </c>
    </row>
    <row r="56" spans="1:13" x14ac:dyDescent="0.35">
      <c r="A56" s="2">
        <v>45712</v>
      </c>
      <c r="B56">
        <v>7638</v>
      </c>
      <c r="C56">
        <v>6659</v>
      </c>
      <c r="D56">
        <v>979</v>
      </c>
      <c r="E56">
        <v>998</v>
      </c>
      <c r="F56">
        <v>13.7</v>
      </c>
      <c r="G56">
        <v>0</v>
      </c>
      <c r="H56" t="s">
        <v>14</v>
      </c>
      <c r="I56" t="s">
        <v>11</v>
      </c>
      <c r="J56" s="2">
        <v>45712.541666666657</v>
      </c>
      <c r="K56">
        <f t="shared" si="0"/>
        <v>984.7</v>
      </c>
      <c r="L56" s="9">
        <f t="shared" si="1"/>
        <v>0.99417773237997953</v>
      </c>
      <c r="M56">
        <f t="shared" si="2"/>
        <v>0</v>
      </c>
    </row>
    <row r="57" spans="1:13" x14ac:dyDescent="0.35">
      <c r="A57" s="2">
        <v>45713</v>
      </c>
      <c r="B57">
        <v>5267</v>
      </c>
      <c r="C57">
        <v>4333</v>
      </c>
      <c r="D57">
        <v>934</v>
      </c>
      <c r="E57">
        <v>891</v>
      </c>
      <c r="F57">
        <v>9.3000000000000007</v>
      </c>
      <c r="G57">
        <v>0</v>
      </c>
      <c r="H57" t="s">
        <v>10</v>
      </c>
      <c r="I57" t="s">
        <v>11</v>
      </c>
      <c r="J57" s="2">
        <v>45713.333333333343</v>
      </c>
      <c r="K57">
        <f t="shared" si="0"/>
        <v>921.1</v>
      </c>
      <c r="L57" s="9">
        <f t="shared" si="1"/>
        <v>0.98618843683083512</v>
      </c>
      <c r="M57">
        <f t="shared" si="2"/>
        <v>0</v>
      </c>
    </row>
    <row r="58" spans="1:13" x14ac:dyDescent="0.35">
      <c r="A58" s="2">
        <v>45714</v>
      </c>
      <c r="B58">
        <v>6879</v>
      </c>
      <c r="C58">
        <v>6731</v>
      </c>
      <c r="D58">
        <v>148</v>
      </c>
      <c r="E58">
        <v>-7</v>
      </c>
      <c r="F58">
        <v>9.1999999999999993</v>
      </c>
      <c r="G58">
        <v>0</v>
      </c>
      <c r="H58" t="s">
        <v>14</v>
      </c>
      <c r="I58" t="s">
        <v>11</v>
      </c>
      <c r="J58" s="2">
        <v>45714.416666666657</v>
      </c>
      <c r="K58">
        <f t="shared" si="0"/>
        <v>101.5</v>
      </c>
      <c r="L58" s="9">
        <f t="shared" si="1"/>
        <v>0.68581081081081074</v>
      </c>
      <c r="M58">
        <f t="shared" si="2"/>
        <v>0</v>
      </c>
    </row>
    <row r="59" spans="1:13" x14ac:dyDescent="0.35">
      <c r="A59" s="2">
        <v>45715</v>
      </c>
      <c r="B59">
        <v>5528</v>
      </c>
      <c r="C59">
        <v>5711</v>
      </c>
      <c r="D59">
        <v>-183</v>
      </c>
      <c r="E59">
        <v>-11</v>
      </c>
      <c r="F59">
        <v>15.6</v>
      </c>
      <c r="G59">
        <v>0</v>
      </c>
      <c r="H59" t="s">
        <v>14</v>
      </c>
      <c r="I59" t="s">
        <v>11</v>
      </c>
      <c r="J59" s="2">
        <v>45715.5</v>
      </c>
      <c r="K59">
        <f t="shared" si="0"/>
        <v>-131.4</v>
      </c>
      <c r="L59" s="9">
        <f t="shared" si="1"/>
        <v>1.2819672131147541</v>
      </c>
      <c r="M59">
        <f t="shared" si="2"/>
        <v>0</v>
      </c>
    </row>
    <row r="60" spans="1:13" x14ac:dyDescent="0.35">
      <c r="A60" s="2">
        <v>45716</v>
      </c>
      <c r="B60">
        <v>7202</v>
      </c>
      <c r="C60">
        <v>6002</v>
      </c>
      <c r="D60">
        <v>1200</v>
      </c>
      <c r="E60">
        <v>1005</v>
      </c>
      <c r="F60">
        <v>12.2</v>
      </c>
      <c r="G60">
        <v>0</v>
      </c>
      <c r="H60" t="s">
        <v>12</v>
      </c>
      <c r="I60" t="s">
        <v>11</v>
      </c>
      <c r="J60" s="2">
        <v>45716.458333333343</v>
      </c>
      <c r="K60">
        <f t="shared" si="0"/>
        <v>1141.5</v>
      </c>
      <c r="L60" s="9">
        <f t="shared" si="1"/>
        <v>0.95125000000000004</v>
      </c>
      <c r="M60">
        <f t="shared" si="2"/>
        <v>0</v>
      </c>
    </row>
    <row r="61" spans="1:13" x14ac:dyDescent="0.35">
      <c r="A61" s="2">
        <v>45717</v>
      </c>
      <c r="B61">
        <v>7556</v>
      </c>
      <c r="C61">
        <v>6808</v>
      </c>
      <c r="D61">
        <v>748</v>
      </c>
      <c r="E61">
        <v>646</v>
      </c>
      <c r="F61">
        <v>16.2</v>
      </c>
      <c r="G61">
        <v>0</v>
      </c>
      <c r="H61" t="s">
        <v>12</v>
      </c>
      <c r="I61" t="s">
        <v>11</v>
      </c>
      <c r="J61" s="2">
        <v>45717.416666666657</v>
      </c>
      <c r="K61">
        <f t="shared" si="0"/>
        <v>717.4</v>
      </c>
      <c r="L61" s="9">
        <f t="shared" si="1"/>
        <v>0.95909090909090911</v>
      </c>
      <c r="M61">
        <f t="shared" si="2"/>
        <v>0</v>
      </c>
    </row>
    <row r="62" spans="1:13" x14ac:dyDescent="0.35">
      <c r="A62" s="2">
        <v>45718</v>
      </c>
      <c r="B62">
        <v>7890</v>
      </c>
      <c r="C62">
        <v>6548</v>
      </c>
      <c r="D62">
        <v>1342</v>
      </c>
      <c r="E62">
        <v>1521</v>
      </c>
      <c r="F62">
        <v>10</v>
      </c>
      <c r="G62">
        <v>0</v>
      </c>
      <c r="H62" t="s">
        <v>12</v>
      </c>
      <c r="I62" t="s">
        <v>11</v>
      </c>
      <c r="J62" s="2">
        <v>45718.708333333343</v>
      </c>
      <c r="K62">
        <f t="shared" si="0"/>
        <v>1395.7</v>
      </c>
      <c r="L62" s="9">
        <f t="shared" si="1"/>
        <v>0.95998509687034272</v>
      </c>
      <c r="M62">
        <f t="shared" si="2"/>
        <v>0</v>
      </c>
    </row>
    <row r="63" spans="1:13" x14ac:dyDescent="0.35">
      <c r="A63" s="2">
        <v>45719</v>
      </c>
      <c r="B63">
        <v>4646</v>
      </c>
      <c r="C63">
        <v>3889</v>
      </c>
      <c r="D63">
        <v>757</v>
      </c>
      <c r="E63">
        <v>789</v>
      </c>
      <c r="F63">
        <v>14.7</v>
      </c>
      <c r="G63">
        <v>1</v>
      </c>
      <c r="H63" t="s">
        <v>12</v>
      </c>
      <c r="I63" t="s">
        <v>11</v>
      </c>
      <c r="J63" s="2">
        <v>45719.5</v>
      </c>
      <c r="K63">
        <f t="shared" si="0"/>
        <v>766.6</v>
      </c>
      <c r="L63" s="9">
        <f t="shared" si="1"/>
        <v>0.98731836195508582</v>
      </c>
      <c r="M63">
        <f t="shared" si="2"/>
        <v>0.01</v>
      </c>
    </row>
    <row r="64" spans="1:13" x14ac:dyDescent="0.35">
      <c r="A64" s="2">
        <v>45720</v>
      </c>
      <c r="B64">
        <v>6068</v>
      </c>
      <c r="C64">
        <v>5885</v>
      </c>
      <c r="D64">
        <v>183</v>
      </c>
      <c r="E64">
        <v>19</v>
      </c>
      <c r="F64">
        <v>12</v>
      </c>
      <c r="G64">
        <v>0</v>
      </c>
      <c r="H64" t="s">
        <v>12</v>
      </c>
      <c r="I64" t="s">
        <v>11</v>
      </c>
      <c r="J64" s="2">
        <v>45720.625</v>
      </c>
      <c r="K64">
        <f t="shared" si="0"/>
        <v>133.80000000000001</v>
      </c>
      <c r="L64" s="9">
        <f t="shared" si="1"/>
        <v>0.73114754098360657</v>
      </c>
      <c r="M64">
        <f t="shared" si="2"/>
        <v>0</v>
      </c>
    </row>
    <row r="65" spans="1:13" x14ac:dyDescent="0.35">
      <c r="A65" s="2">
        <v>45721</v>
      </c>
      <c r="B65">
        <v>6888</v>
      </c>
      <c r="C65">
        <v>6725</v>
      </c>
      <c r="D65">
        <v>163</v>
      </c>
      <c r="E65">
        <v>242</v>
      </c>
      <c r="F65">
        <v>7.8</v>
      </c>
      <c r="G65">
        <v>0</v>
      </c>
      <c r="H65" t="s">
        <v>12</v>
      </c>
      <c r="I65" t="s">
        <v>11</v>
      </c>
      <c r="J65" s="2">
        <v>45721.458333333343</v>
      </c>
      <c r="K65">
        <f t="shared" si="0"/>
        <v>186.7</v>
      </c>
      <c r="L65" s="9">
        <f t="shared" si="1"/>
        <v>0.85460122699386509</v>
      </c>
      <c r="M65">
        <f t="shared" si="2"/>
        <v>0</v>
      </c>
    </row>
    <row r="66" spans="1:13" x14ac:dyDescent="0.35">
      <c r="A66" s="2">
        <v>45722</v>
      </c>
      <c r="B66">
        <v>6214</v>
      </c>
      <c r="C66">
        <v>4716</v>
      </c>
      <c r="D66">
        <v>1498</v>
      </c>
      <c r="E66">
        <v>1646</v>
      </c>
      <c r="F66">
        <v>11.3</v>
      </c>
      <c r="G66">
        <v>0</v>
      </c>
      <c r="H66" t="s">
        <v>14</v>
      </c>
      <c r="I66" t="s">
        <v>11</v>
      </c>
      <c r="J66" s="2">
        <v>45722.333333333343</v>
      </c>
      <c r="K66">
        <f t="shared" si="0"/>
        <v>1542.4</v>
      </c>
      <c r="L66" s="9">
        <f t="shared" si="1"/>
        <v>0.97036048064085445</v>
      </c>
      <c r="M66">
        <f t="shared" si="2"/>
        <v>0</v>
      </c>
    </row>
    <row r="67" spans="1:13" x14ac:dyDescent="0.35">
      <c r="A67" s="2">
        <v>45723</v>
      </c>
      <c r="B67">
        <v>5297</v>
      </c>
      <c r="C67">
        <v>3947</v>
      </c>
      <c r="D67">
        <v>1350</v>
      </c>
      <c r="E67">
        <v>1451</v>
      </c>
      <c r="F67">
        <v>14.3</v>
      </c>
      <c r="G67">
        <v>0</v>
      </c>
      <c r="H67" t="s">
        <v>12</v>
      </c>
      <c r="I67" t="s">
        <v>11</v>
      </c>
      <c r="J67" s="2">
        <v>45723.583333333343</v>
      </c>
      <c r="K67">
        <f t="shared" ref="K67:K130" si="3">D67+(E67-D67)*0.3</f>
        <v>1380.3</v>
      </c>
      <c r="L67" s="9">
        <f t="shared" ref="L67:L130" si="4">IF(D67&lt;&gt;0,(1-ABS(D67-K67)/D67),"")</f>
        <v>0.97755555555555562</v>
      </c>
      <c r="M67">
        <f t="shared" ref="M67:M130" si="5">G67/100</f>
        <v>0</v>
      </c>
    </row>
    <row r="68" spans="1:13" x14ac:dyDescent="0.35">
      <c r="A68" s="2">
        <v>45724</v>
      </c>
      <c r="B68">
        <v>6435</v>
      </c>
      <c r="C68">
        <v>5538</v>
      </c>
      <c r="D68">
        <v>897</v>
      </c>
      <c r="E68">
        <v>877</v>
      </c>
      <c r="F68">
        <v>15.5</v>
      </c>
      <c r="G68">
        <v>0</v>
      </c>
      <c r="H68" t="s">
        <v>12</v>
      </c>
      <c r="I68" t="s">
        <v>13</v>
      </c>
      <c r="J68" s="2">
        <v>45724.625</v>
      </c>
      <c r="K68">
        <f t="shared" si="3"/>
        <v>891</v>
      </c>
      <c r="L68" s="9">
        <f t="shared" si="4"/>
        <v>0.99331103678929766</v>
      </c>
      <c r="M68">
        <f t="shared" si="5"/>
        <v>0</v>
      </c>
    </row>
    <row r="69" spans="1:13" x14ac:dyDescent="0.35">
      <c r="A69" s="2">
        <v>45725</v>
      </c>
      <c r="B69">
        <v>4600</v>
      </c>
      <c r="C69">
        <v>3405</v>
      </c>
      <c r="D69">
        <v>1195</v>
      </c>
      <c r="E69">
        <v>1089</v>
      </c>
      <c r="F69">
        <v>16.899999999999999</v>
      </c>
      <c r="G69">
        <v>0</v>
      </c>
      <c r="H69" t="s">
        <v>10</v>
      </c>
      <c r="I69" t="s">
        <v>11</v>
      </c>
      <c r="J69" s="2">
        <v>45725.416666666657</v>
      </c>
      <c r="K69">
        <f t="shared" si="3"/>
        <v>1163.2</v>
      </c>
      <c r="L69" s="9">
        <f t="shared" si="4"/>
        <v>0.9733891213389122</v>
      </c>
      <c r="M69">
        <f t="shared" si="5"/>
        <v>0</v>
      </c>
    </row>
    <row r="70" spans="1:13" x14ac:dyDescent="0.35">
      <c r="A70" s="2">
        <v>45726</v>
      </c>
      <c r="B70">
        <v>6363</v>
      </c>
      <c r="C70">
        <v>5232</v>
      </c>
      <c r="D70">
        <v>1131</v>
      </c>
      <c r="E70">
        <v>1029</v>
      </c>
      <c r="F70">
        <v>19.399999999999999</v>
      </c>
      <c r="G70">
        <v>0</v>
      </c>
      <c r="H70" t="s">
        <v>14</v>
      </c>
      <c r="I70" t="s">
        <v>11</v>
      </c>
      <c r="J70" s="2">
        <v>45726.541666666657</v>
      </c>
      <c r="K70">
        <f t="shared" si="3"/>
        <v>1100.4000000000001</v>
      </c>
      <c r="L70" s="9">
        <f t="shared" si="4"/>
        <v>0.97294429708222818</v>
      </c>
      <c r="M70">
        <f t="shared" si="5"/>
        <v>0</v>
      </c>
    </row>
    <row r="71" spans="1:13" x14ac:dyDescent="0.35">
      <c r="A71" s="2">
        <v>45727</v>
      </c>
      <c r="B71">
        <v>6061</v>
      </c>
      <c r="C71">
        <v>5066</v>
      </c>
      <c r="D71">
        <v>995</v>
      </c>
      <c r="E71">
        <v>982</v>
      </c>
      <c r="F71">
        <v>16.3</v>
      </c>
      <c r="G71">
        <v>0</v>
      </c>
      <c r="H71" t="s">
        <v>14</v>
      </c>
      <c r="I71" t="s">
        <v>11</v>
      </c>
      <c r="J71" s="2">
        <v>45727.375</v>
      </c>
      <c r="K71">
        <f t="shared" si="3"/>
        <v>991.1</v>
      </c>
      <c r="L71" s="9">
        <f t="shared" si="4"/>
        <v>0.99608040201005033</v>
      </c>
      <c r="M71">
        <f t="shared" si="5"/>
        <v>0</v>
      </c>
    </row>
    <row r="72" spans="1:13" x14ac:dyDescent="0.35">
      <c r="A72" s="2">
        <v>45728</v>
      </c>
      <c r="B72">
        <v>4241</v>
      </c>
      <c r="C72">
        <v>3485</v>
      </c>
      <c r="D72">
        <v>756</v>
      </c>
      <c r="E72">
        <v>671</v>
      </c>
      <c r="F72">
        <v>19</v>
      </c>
      <c r="G72">
        <v>0</v>
      </c>
      <c r="H72" t="s">
        <v>14</v>
      </c>
      <c r="I72" t="s">
        <v>13</v>
      </c>
      <c r="J72" s="2">
        <v>45728.583333333343</v>
      </c>
      <c r="K72">
        <f t="shared" si="3"/>
        <v>730.5</v>
      </c>
      <c r="L72" s="9">
        <f t="shared" si="4"/>
        <v>0.96626984126984128</v>
      </c>
      <c r="M72">
        <f t="shared" si="5"/>
        <v>0</v>
      </c>
    </row>
    <row r="73" spans="1:13" x14ac:dyDescent="0.35">
      <c r="A73" s="2">
        <v>45729</v>
      </c>
      <c r="B73">
        <v>6041</v>
      </c>
      <c r="C73">
        <v>4826</v>
      </c>
      <c r="D73">
        <v>1215</v>
      </c>
      <c r="E73">
        <v>1205</v>
      </c>
      <c r="F73">
        <v>17.399999999999999</v>
      </c>
      <c r="G73">
        <v>0</v>
      </c>
      <c r="H73" t="s">
        <v>12</v>
      </c>
      <c r="I73" t="s">
        <v>11</v>
      </c>
      <c r="J73" s="2">
        <v>45729.625</v>
      </c>
      <c r="K73">
        <f t="shared" si="3"/>
        <v>1212</v>
      </c>
      <c r="L73" s="9">
        <f t="shared" si="4"/>
        <v>0.9975308641975309</v>
      </c>
      <c r="M73">
        <f t="shared" si="5"/>
        <v>0</v>
      </c>
    </row>
    <row r="74" spans="1:13" x14ac:dyDescent="0.35">
      <c r="A74" s="2">
        <v>45730</v>
      </c>
      <c r="B74">
        <v>6824</v>
      </c>
      <c r="C74">
        <v>6188</v>
      </c>
      <c r="D74">
        <v>636</v>
      </c>
      <c r="E74">
        <v>688</v>
      </c>
      <c r="F74">
        <v>16.8</v>
      </c>
      <c r="G74">
        <v>0</v>
      </c>
      <c r="H74" t="s">
        <v>12</v>
      </c>
      <c r="I74" t="s">
        <v>11</v>
      </c>
      <c r="J74" s="2">
        <v>45730.541666666657</v>
      </c>
      <c r="K74">
        <f t="shared" si="3"/>
        <v>651.6</v>
      </c>
      <c r="L74" s="9">
        <f t="shared" si="4"/>
        <v>0.97547169811320755</v>
      </c>
      <c r="M74">
        <f t="shared" si="5"/>
        <v>0</v>
      </c>
    </row>
    <row r="75" spans="1:13" x14ac:dyDescent="0.35">
      <c r="A75" s="2">
        <v>45731</v>
      </c>
      <c r="B75">
        <v>7417</v>
      </c>
      <c r="C75">
        <v>6064</v>
      </c>
      <c r="D75">
        <v>1353</v>
      </c>
      <c r="E75">
        <v>1313</v>
      </c>
      <c r="F75">
        <v>21.4</v>
      </c>
      <c r="G75">
        <v>0</v>
      </c>
      <c r="H75" t="s">
        <v>12</v>
      </c>
      <c r="I75" t="s">
        <v>11</v>
      </c>
      <c r="J75" s="2">
        <v>45731.541666666657</v>
      </c>
      <c r="K75">
        <f t="shared" si="3"/>
        <v>1341</v>
      </c>
      <c r="L75" s="9">
        <f t="shared" si="4"/>
        <v>0.99113082039911304</v>
      </c>
      <c r="M75">
        <f t="shared" si="5"/>
        <v>0</v>
      </c>
    </row>
    <row r="76" spans="1:13" x14ac:dyDescent="0.35">
      <c r="A76" s="2">
        <v>45732</v>
      </c>
      <c r="B76">
        <v>6612</v>
      </c>
      <c r="C76">
        <v>5592</v>
      </c>
      <c r="D76">
        <v>1020</v>
      </c>
      <c r="E76">
        <v>1075</v>
      </c>
      <c r="F76">
        <v>11.8</v>
      </c>
      <c r="G76">
        <v>0</v>
      </c>
      <c r="H76" t="s">
        <v>10</v>
      </c>
      <c r="I76" t="s">
        <v>11</v>
      </c>
      <c r="J76" s="2">
        <v>45732.5</v>
      </c>
      <c r="K76">
        <f t="shared" si="3"/>
        <v>1036.5</v>
      </c>
      <c r="L76" s="9">
        <f t="shared" si="4"/>
        <v>0.98382352941176465</v>
      </c>
      <c r="M76">
        <f t="shared" si="5"/>
        <v>0</v>
      </c>
    </row>
    <row r="77" spans="1:13" x14ac:dyDescent="0.35">
      <c r="A77" s="2">
        <v>45733</v>
      </c>
      <c r="B77">
        <v>6945</v>
      </c>
      <c r="C77">
        <v>7004</v>
      </c>
      <c r="D77">
        <v>-59</v>
      </c>
      <c r="E77">
        <v>63</v>
      </c>
      <c r="F77">
        <v>18.8</v>
      </c>
      <c r="G77">
        <v>0</v>
      </c>
      <c r="H77" t="s">
        <v>12</v>
      </c>
      <c r="I77" t="s">
        <v>11</v>
      </c>
      <c r="J77" s="2">
        <v>45733.625</v>
      </c>
      <c r="K77">
        <f t="shared" si="3"/>
        <v>-22.4</v>
      </c>
      <c r="L77" s="9">
        <f t="shared" si="4"/>
        <v>1.6203389830508474</v>
      </c>
      <c r="M77">
        <f t="shared" si="5"/>
        <v>0</v>
      </c>
    </row>
    <row r="78" spans="1:13" x14ac:dyDescent="0.35">
      <c r="A78" s="2">
        <v>45734</v>
      </c>
      <c r="B78">
        <v>5363</v>
      </c>
      <c r="C78">
        <v>5300</v>
      </c>
      <c r="D78">
        <v>63</v>
      </c>
      <c r="E78">
        <v>-10</v>
      </c>
      <c r="F78">
        <v>12.8</v>
      </c>
      <c r="G78">
        <v>0</v>
      </c>
      <c r="H78" t="s">
        <v>10</v>
      </c>
      <c r="I78" t="s">
        <v>13</v>
      </c>
      <c r="J78" s="2">
        <v>45734.333333333343</v>
      </c>
      <c r="K78">
        <f t="shared" si="3"/>
        <v>41.1</v>
      </c>
      <c r="L78" s="9">
        <f t="shared" si="4"/>
        <v>0.65238095238095239</v>
      </c>
      <c r="M78">
        <f t="shared" si="5"/>
        <v>0</v>
      </c>
    </row>
    <row r="79" spans="1:13" x14ac:dyDescent="0.35">
      <c r="A79" s="2">
        <v>45735</v>
      </c>
      <c r="B79">
        <v>6139</v>
      </c>
      <c r="C79">
        <v>5348</v>
      </c>
      <c r="D79">
        <v>791</v>
      </c>
      <c r="E79">
        <v>608</v>
      </c>
      <c r="F79">
        <v>12.2</v>
      </c>
      <c r="G79">
        <v>0</v>
      </c>
      <c r="H79" t="s">
        <v>14</v>
      </c>
      <c r="I79" t="s">
        <v>13</v>
      </c>
      <c r="J79" s="2">
        <v>45735.708333333343</v>
      </c>
      <c r="K79">
        <f t="shared" si="3"/>
        <v>736.1</v>
      </c>
      <c r="L79" s="9">
        <f t="shared" si="4"/>
        <v>0.93059418457648546</v>
      </c>
      <c r="M79">
        <f t="shared" si="5"/>
        <v>0</v>
      </c>
    </row>
    <row r="80" spans="1:13" x14ac:dyDescent="0.35">
      <c r="A80" s="2">
        <v>45736</v>
      </c>
      <c r="B80">
        <v>5390</v>
      </c>
      <c r="C80">
        <v>4357</v>
      </c>
      <c r="D80">
        <v>1033</v>
      </c>
      <c r="E80">
        <v>1113</v>
      </c>
      <c r="F80">
        <v>12.1</v>
      </c>
      <c r="G80">
        <v>0</v>
      </c>
      <c r="H80" t="s">
        <v>12</v>
      </c>
      <c r="I80" t="s">
        <v>11</v>
      </c>
      <c r="J80" s="2">
        <v>45736.458333333343</v>
      </c>
      <c r="K80">
        <f t="shared" si="3"/>
        <v>1057</v>
      </c>
      <c r="L80" s="9">
        <f t="shared" si="4"/>
        <v>0.97676669893514034</v>
      </c>
      <c r="M80">
        <f t="shared" si="5"/>
        <v>0</v>
      </c>
    </row>
    <row r="81" spans="1:13" x14ac:dyDescent="0.35">
      <c r="A81" s="2">
        <v>45737</v>
      </c>
      <c r="B81">
        <v>7003</v>
      </c>
      <c r="C81">
        <v>5673</v>
      </c>
      <c r="D81">
        <v>1330</v>
      </c>
      <c r="E81">
        <v>1352</v>
      </c>
      <c r="F81">
        <v>15.8</v>
      </c>
      <c r="G81">
        <v>0</v>
      </c>
      <c r="H81" t="s">
        <v>10</v>
      </c>
      <c r="I81" t="s">
        <v>11</v>
      </c>
      <c r="J81" s="2">
        <v>45737.458333333343</v>
      </c>
      <c r="K81">
        <f t="shared" si="3"/>
        <v>1336.6</v>
      </c>
      <c r="L81" s="9">
        <f t="shared" si="4"/>
        <v>0.9950375939849625</v>
      </c>
      <c r="M81">
        <f t="shared" si="5"/>
        <v>0</v>
      </c>
    </row>
    <row r="82" spans="1:13" x14ac:dyDescent="0.35">
      <c r="A82" s="2">
        <v>45738</v>
      </c>
      <c r="B82">
        <v>5478</v>
      </c>
      <c r="C82">
        <v>4569</v>
      </c>
      <c r="D82">
        <v>909</v>
      </c>
      <c r="E82">
        <v>762</v>
      </c>
      <c r="F82">
        <v>10.6</v>
      </c>
      <c r="G82">
        <v>0</v>
      </c>
      <c r="H82" t="s">
        <v>10</v>
      </c>
      <c r="I82" t="s">
        <v>13</v>
      </c>
      <c r="J82" s="2">
        <v>45738.416666666657</v>
      </c>
      <c r="K82">
        <f t="shared" si="3"/>
        <v>864.9</v>
      </c>
      <c r="L82" s="9">
        <f t="shared" si="4"/>
        <v>0.95148514851485144</v>
      </c>
      <c r="M82">
        <f t="shared" si="5"/>
        <v>0</v>
      </c>
    </row>
    <row r="83" spans="1:13" x14ac:dyDescent="0.35">
      <c r="A83" s="2">
        <v>45739</v>
      </c>
      <c r="B83">
        <v>7499</v>
      </c>
      <c r="C83">
        <v>6589</v>
      </c>
      <c r="D83">
        <v>910</v>
      </c>
      <c r="E83">
        <v>767</v>
      </c>
      <c r="F83">
        <v>16.899999999999999</v>
      </c>
      <c r="G83">
        <v>0</v>
      </c>
      <c r="H83" t="s">
        <v>12</v>
      </c>
      <c r="I83" t="s">
        <v>11</v>
      </c>
      <c r="J83" s="2">
        <v>45739.416666666657</v>
      </c>
      <c r="K83">
        <f t="shared" si="3"/>
        <v>867.1</v>
      </c>
      <c r="L83" s="9">
        <f t="shared" si="4"/>
        <v>0.95285714285714285</v>
      </c>
      <c r="M83">
        <f t="shared" si="5"/>
        <v>0</v>
      </c>
    </row>
    <row r="84" spans="1:13" x14ac:dyDescent="0.35">
      <c r="A84" s="2">
        <v>45740</v>
      </c>
      <c r="B84">
        <v>6556</v>
      </c>
      <c r="C84">
        <v>5920</v>
      </c>
      <c r="D84">
        <v>636</v>
      </c>
      <c r="E84">
        <v>758</v>
      </c>
      <c r="F84">
        <v>15.1</v>
      </c>
      <c r="G84">
        <v>0</v>
      </c>
      <c r="H84" t="s">
        <v>14</v>
      </c>
      <c r="I84" t="s">
        <v>11</v>
      </c>
      <c r="J84" s="2">
        <v>45740.458333333343</v>
      </c>
      <c r="K84">
        <f t="shared" si="3"/>
        <v>672.6</v>
      </c>
      <c r="L84" s="9">
        <f t="shared" si="4"/>
        <v>0.9424528301886792</v>
      </c>
      <c r="M84">
        <f t="shared" si="5"/>
        <v>0</v>
      </c>
    </row>
    <row r="85" spans="1:13" x14ac:dyDescent="0.35">
      <c r="A85" s="2">
        <v>45741</v>
      </c>
      <c r="B85">
        <v>4775</v>
      </c>
      <c r="C85">
        <v>3639</v>
      </c>
      <c r="D85">
        <v>1136</v>
      </c>
      <c r="E85">
        <v>1295</v>
      </c>
      <c r="F85">
        <v>19.600000000000001</v>
      </c>
      <c r="G85">
        <v>0</v>
      </c>
      <c r="H85" t="s">
        <v>14</v>
      </c>
      <c r="I85" t="s">
        <v>11</v>
      </c>
      <c r="J85" s="2">
        <v>45741.333333333343</v>
      </c>
      <c r="K85">
        <f t="shared" si="3"/>
        <v>1183.7</v>
      </c>
      <c r="L85" s="9">
        <f t="shared" si="4"/>
        <v>0.95801056338028168</v>
      </c>
      <c r="M85">
        <f t="shared" si="5"/>
        <v>0</v>
      </c>
    </row>
    <row r="86" spans="1:13" x14ac:dyDescent="0.35">
      <c r="A86" s="2">
        <v>45742</v>
      </c>
      <c r="B86">
        <v>4034</v>
      </c>
      <c r="C86">
        <v>2886</v>
      </c>
      <c r="D86">
        <v>1148</v>
      </c>
      <c r="E86">
        <v>1121</v>
      </c>
      <c r="F86">
        <v>13.1</v>
      </c>
      <c r="G86">
        <v>0</v>
      </c>
      <c r="H86" t="s">
        <v>14</v>
      </c>
      <c r="I86" t="s">
        <v>11</v>
      </c>
      <c r="J86" s="2">
        <v>45742.375</v>
      </c>
      <c r="K86">
        <f t="shared" si="3"/>
        <v>1139.9000000000001</v>
      </c>
      <c r="L86" s="9">
        <f t="shared" si="4"/>
        <v>0.99294425087108018</v>
      </c>
      <c r="M86">
        <f t="shared" si="5"/>
        <v>0</v>
      </c>
    </row>
    <row r="87" spans="1:13" x14ac:dyDescent="0.35">
      <c r="A87" s="2">
        <v>45743</v>
      </c>
      <c r="B87">
        <v>6253</v>
      </c>
      <c r="C87">
        <v>5802</v>
      </c>
      <c r="D87">
        <v>451</v>
      </c>
      <c r="E87">
        <v>530</v>
      </c>
      <c r="F87">
        <v>18.3</v>
      </c>
      <c r="G87">
        <v>0</v>
      </c>
      <c r="H87" t="s">
        <v>10</v>
      </c>
      <c r="I87" t="s">
        <v>11</v>
      </c>
      <c r="J87" s="2">
        <v>45743.666666666657</v>
      </c>
      <c r="K87">
        <f t="shared" si="3"/>
        <v>474.7</v>
      </c>
      <c r="L87" s="9">
        <f t="shared" si="4"/>
        <v>0.94745011086474507</v>
      </c>
      <c r="M87">
        <f t="shared" si="5"/>
        <v>0</v>
      </c>
    </row>
    <row r="88" spans="1:13" x14ac:dyDescent="0.35">
      <c r="A88" s="2">
        <v>45744</v>
      </c>
      <c r="B88">
        <v>7152</v>
      </c>
      <c r="C88">
        <v>6548</v>
      </c>
      <c r="D88">
        <v>604</v>
      </c>
      <c r="E88">
        <v>517</v>
      </c>
      <c r="F88">
        <v>18.3</v>
      </c>
      <c r="G88">
        <v>0</v>
      </c>
      <c r="H88" t="s">
        <v>10</v>
      </c>
      <c r="I88" t="s">
        <v>11</v>
      </c>
      <c r="J88" s="2">
        <v>45744.708333333343</v>
      </c>
      <c r="K88">
        <f t="shared" si="3"/>
        <v>577.9</v>
      </c>
      <c r="L88" s="9">
        <f t="shared" si="4"/>
        <v>0.95678807947019862</v>
      </c>
      <c r="M88">
        <f t="shared" si="5"/>
        <v>0</v>
      </c>
    </row>
    <row r="89" spans="1:13" x14ac:dyDescent="0.35">
      <c r="A89" s="2">
        <v>45745</v>
      </c>
      <c r="B89">
        <v>5955</v>
      </c>
      <c r="C89">
        <v>5757</v>
      </c>
      <c r="D89">
        <v>198</v>
      </c>
      <c r="E89">
        <v>285</v>
      </c>
      <c r="F89">
        <v>14.2</v>
      </c>
      <c r="G89">
        <v>0</v>
      </c>
      <c r="H89" t="s">
        <v>10</v>
      </c>
      <c r="I89" t="s">
        <v>13</v>
      </c>
      <c r="J89" s="2">
        <v>45745.375</v>
      </c>
      <c r="K89">
        <f t="shared" si="3"/>
        <v>224.1</v>
      </c>
      <c r="L89" s="9">
        <f t="shared" si="4"/>
        <v>0.86818181818181817</v>
      </c>
      <c r="M89">
        <f t="shared" si="5"/>
        <v>0</v>
      </c>
    </row>
    <row r="90" spans="1:13" x14ac:dyDescent="0.35">
      <c r="A90" s="2">
        <v>45746</v>
      </c>
      <c r="B90">
        <v>5585</v>
      </c>
      <c r="C90">
        <v>5973</v>
      </c>
      <c r="D90">
        <v>-388</v>
      </c>
      <c r="E90">
        <v>-247</v>
      </c>
      <c r="F90">
        <v>12</v>
      </c>
      <c r="G90">
        <v>1</v>
      </c>
      <c r="H90" t="s">
        <v>10</v>
      </c>
      <c r="I90" t="s">
        <v>13</v>
      </c>
      <c r="J90" s="2">
        <v>45746.5</v>
      </c>
      <c r="K90">
        <f t="shared" si="3"/>
        <v>-345.7</v>
      </c>
      <c r="L90" s="9">
        <f t="shared" si="4"/>
        <v>1.1090206185567011</v>
      </c>
      <c r="M90">
        <f t="shared" si="5"/>
        <v>0.01</v>
      </c>
    </row>
    <row r="91" spans="1:13" x14ac:dyDescent="0.35">
      <c r="A91" s="2">
        <v>45747</v>
      </c>
      <c r="B91">
        <v>7943</v>
      </c>
      <c r="C91">
        <v>8442</v>
      </c>
      <c r="D91">
        <v>-499</v>
      </c>
      <c r="E91">
        <v>-549</v>
      </c>
      <c r="F91">
        <v>9.1999999999999993</v>
      </c>
      <c r="G91">
        <v>0</v>
      </c>
      <c r="H91" t="s">
        <v>14</v>
      </c>
      <c r="I91" t="s">
        <v>11</v>
      </c>
      <c r="J91" s="2">
        <v>45747.666666666657</v>
      </c>
      <c r="K91">
        <f t="shared" si="3"/>
        <v>-514</v>
      </c>
      <c r="L91" s="9">
        <f t="shared" si="4"/>
        <v>1.0300601202404809</v>
      </c>
      <c r="M91">
        <f t="shared" si="5"/>
        <v>0</v>
      </c>
    </row>
    <row r="92" spans="1:13" x14ac:dyDescent="0.35">
      <c r="A92" s="2">
        <v>45748</v>
      </c>
      <c r="B92">
        <v>7459</v>
      </c>
      <c r="C92">
        <v>7318</v>
      </c>
      <c r="D92">
        <v>141</v>
      </c>
      <c r="E92">
        <v>67</v>
      </c>
      <c r="F92">
        <v>13.8</v>
      </c>
      <c r="G92">
        <v>0</v>
      </c>
      <c r="H92" t="s">
        <v>12</v>
      </c>
      <c r="I92" t="s">
        <v>11</v>
      </c>
      <c r="J92" s="2">
        <v>45748.666666666657</v>
      </c>
      <c r="K92">
        <f t="shared" si="3"/>
        <v>118.8</v>
      </c>
      <c r="L92" s="9">
        <f t="shared" si="4"/>
        <v>0.8425531914893617</v>
      </c>
      <c r="M92">
        <f t="shared" si="5"/>
        <v>0</v>
      </c>
    </row>
    <row r="93" spans="1:13" x14ac:dyDescent="0.35">
      <c r="A93" s="2">
        <v>45749</v>
      </c>
      <c r="B93">
        <v>7073</v>
      </c>
      <c r="C93">
        <v>7354</v>
      </c>
      <c r="D93">
        <v>-281</v>
      </c>
      <c r="E93">
        <v>-327</v>
      </c>
      <c r="F93">
        <v>15.2</v>
      </c>
      <c r="G93">
        <v>0</v>
      </c>
      <c r="H93" t="s">
        <v>10</v>
      </c>
      <c r="I93" t="s">
        <v>13</v>
      </c>
      <c r="J93" s="2">
        <v>45749.625</v>
      </c>
      <c r="K93">
        <f t="shared" si="3"/>
        <v>-294.8</v>
      </c>
      <c r="L93" s="9">
        <f t="shared" si="4"/>
        <v>1.0491103202846976</v>
      </c>
      <c r="M93">
        <f t="shared" si="5"/>
        <v>0</v>
      </c>
    </row>
    <row r="94" spans="1:13" x14ac:dyDescent="0.35">
      <c r="A94" s="2">
        <v>45750</v>
      </c>
      <c r="B94">
        <v>5021</v>
      </c>
      <c r="C94">
        <v>3932</v>
      </c>
      <c r="D94">
        <v>1089</v>
      </c>
      <c r="E94">
        <v>1274</v>
      </c>
      <c r="F94">
        <v>9.9</v>
      </c>
      <c r="G94">
        <v>0</v>
      </c>
      <c r="H94" t="s">
        <v>10</v>
      </c>
      <c r="I94" t="s">
        <v>11</v>
      </c>
      <c r="J94" s="2">
        <v>45750.333333333343</v>
      </c>
      <c r="K94">
        <f t="shared" si="3"/>
        <v>1144.5</v>
      </c>
      <c r="L94" s="9">
        <f t="shared" si="4"/>
        <v>0.94903581267217629</v>
      </c>
      <c r="M94">
        <f t="shared" si="5"/>
        <v>0</v>
      </c>
    </row>
    <row r="95" spans="1:13" x14ac:dyDescent="0.35">
      <c r="A95" s="2">
        <v>45751</v>
      </c>
      <c r="B95">
        <v>7461</v>
      </c>
      <c r="C95">
        <v>7107</v>
      </c>
      <c r="D95">
        <v>354</v>
      </c>
      <c r="E95">
        <v>426</v>
      </c>
      <c r="F95">
        <v>17.899999999999999</v>
      </c>
      <c r="G95">
        <v>0</v>
      </c>
      <c r="H95" t="s">
        <v>14</v>
      </c>
      <c r="I95" t="s">
        <v>11</v>
      </c>
      <c r="J95" s="2">
        <v>45751.333333333343</v>
      </c>
      <c r="K95">
        <f t="shared" si="3"/>
        <v>375.6</v>
      </c>
      <c r="L95" s="9">
        <f t="shared" si="4"/>
        <v>0.93898305084745759</v>
      </c>
      <c r="M95">
        <f t="shared" si="5"/>
        <v>0</v>
      </c>
    </row>
    <row r="96" spans="1:13" x14ac:dyDescent="0.35">
      <c r="A96" s="2">
        <v>45752</v>
      </c>
      <c r="B96">
        <v>6613</v>
      </c>
      <c r="C96">
        <v>5354</v>
      </c>
      <c r="D96">
        <v>1259</v>
      </c>
      <c r="E96">
        <v>1162</v>
      </c>
      <c r="F96">
        <v>14.2</v>
      </c>
      <c r="G96">
        <v>0</v>
      </c>
      <c r="H96" t="s">
        <v>12</v>
      </c>
      <c r="I96" t="s">
        <v>13</v>
      </c>
      <c r="J96" s="2">
        <v>45752.666666666657</v>
      </c>
      <c r="K96">
        <f t="shared" si="3"/>
        <v>1229.9000000000001</v>
      </c>
      <c r="L96" s="9">
        <f t="shared" si="4"/>
        <v>0.97688641779189844</v>
      </c>
      <c r="M96">
        <f t="shared" si="5"/>
        <v>0</v>
      </c>
    </row>
    <row r="97" spans="1:13" x14ac:dyDescent="0.35">
      <c r="A97" s="2">
        <v>45753</v>
      </c>
      <c r="B97">
        <v>5129</v>
      </c>
      <c r="C97">
        <v>4381</v>
      </c>
      <c r="D97">
        <v>748</v>
      </c>
      <c r="E97">
        <v>940</v>
      </c>
      <c r="F97">
        <v>10.4</v>
      </c>
      <c r="G97">
        <v>0</v>
      </c>
      <c r="H97" t="s">
        <v>12</v>
      </c>
      <c r="I97" t="s">
        <v>13</v>
      </c>
      <c r="J97" s="2">
        <v>45753.625</v>
      </c>
      <c r="K97">
        <f t="shared" si="3"/>
        <v>805.6</v>
      </c>
      <c r="L97" s="9">
        <f t="shared" si="4"/>
        <v>0.92299465240641709</v>
      </c>
      <c r="M97">
        <f t="shared" si="5"/>
        <v>0</v>
      </c>
    </row>
    <row r="98" spans="1:13" x14ac:dyDescent="0.35">
      <c r="A98" s="2">
        <v>45754</v>
      </c>
      <c r="B98">
        <v>7843</v>
      </c>
      <c r="C98">
        <v>7959</v>
      </c>
      <c r="D98">
        <v>-116</v>
      </c>
      <c r="E98">
        <v>-18</v>
      </c>
      <c r="F98">
        <v>13.6</v>
      </c>
      <c r="G98">
        <v>0</v>
      </c>
      <c r="H98" t="s">
        <v>14</v>
      </c>
      <c r="I98" t="s">
        <v>11</v>
      </c>
      <c r="J98" s="2">
        <v>45754.708333333343</v>
      </c>
      <c r="K98">
        <f t="shared" si="3"/>
        <v>-86.6</v>
      </c>
      <c r="L98" s="9">
        <f t="shared" si="4"/>
        <v>1.2534482758620691</v>
      </c>
      <c r="M98">
        <f t="shared" si="5"/>
        <v>0</v>
      </c>
    </row>
    <row r="99" spans="1:13" x14ac:dyDescent="0.35">
      <c r="A99" s="2">
        <v>45755</v>
      </c>
      <c r="B99">
        <v>7893</v>
      </c>
      <c r="C99">
        <v>6967</v>
      </c>
      <c r="D99">
        <v>926</v>
      </c>
      <c r="E99">
        <v>971</v>
      </c>
      <c r="F99">
        <v>14.7</v>
      </c>
      <c r="G99">
        <v>0</v>
      </c>
      <c r="H99" t="s">
        <v>14</v>
      </c>
      <c r="I99" t="s">
        <v>11</v>
      </c>
      <c r="J99" s="2">
        <v>45755.666666666657</v>
      </c>
      <c r="K99">
        <f t="shared" si="3"/>
        <v>939.5</v>
      </c>
      <c r="L99" s="9">
        <f t="shared" si="4"/>
        <v>0.98542116630669552</v>
      </c>
      <c r="M99">
        <f t="shared" si="5"/>
        <v>0</v>
      </c>
    </row>
    <row r="100" spans="1:13" x14ac:dyDescent="0.35">
      <c r="A100" s="2">
        <v>45756</v>
      </c>
      <c r="B100">
        <v>5500</v>
      </c>
      <c r="C100">
        <v>4339</v>
      </c>
      <c r="D100">
        <v>1161</v>
      </c>
      <c r="E100">
        <v>1136</v>
      </c>
      <c r="F100">
        <v>18.5</v>
      </c>
      <c r="G100">
        <v>0</v>
      </c>
      <c r="H100" t="s">
        <v>12</v>
      </c>
      <c r="I100" t="s">
        <v>11</v>
      </c>
      <c r="J100" s="2">
        <v>45756.583333333343</v>
      </c>
      <c r="K100">
        <f t="shared" si="3"/>
        <v>1153.5</v>
      </c>
      <c r="L100" s="9">
        <f t="shared" si="4"/>
        <v>0.99354005167958659</v>
      </c>
      <c r="M100">
        <f t="shared" si="5"/>
        <v>0</v>
      </c>
    </row>
    <row r="101" spans="1:13" x14ac:dyDescent="0.35">
      <c r="A101" s="2">
        <v>45757</v>
      </c>
      <c r="B101">
        <v>4702</v>
      </c>
      <c r="C101">
        <v>4049</v>
      </c>
      <c r="D101">
        <v>653</v>
      </c>
      <c r="E101">
        <v>491</v>
      </c>
      <c r="F101">
        <v>17.5</v>
      </c>
      <c r="G101">
        <v>0</v>
      </c>
      <c r="H101" t="s">
        <v>10</v>
      </c>
      <c r="I101" t="s">
        <v>11</v>
      </c>
      <c r="J101" s="2">
        <v>45757.416666666657</v>
      </c>
      <c r="K101">
        <f t="shared" si="3"/>
        <v>604.4</v>
      </c>
      <c r="L101" s="9">
        <f t="shared" si="4"/>
        <v>0.92557427258805514</v>
      </c>
      <c r="M101">
        <f t="shared" si="5"/>
        <v>0</v>
      </c>
    </row>
    <row r="102" spans="1:13" x14ac:dyDescent="0.35">
      <c r="A102" s="2">
        <v>45758</v>
      </c>
      <c r="B102">
        <v>6449</v>
      </c>
      <c r="C102">
        <v>5873</v>
      </c>
      <c r="D102">
        <v>576</v>
      </c>
      <c r="E102">
        <v>545</v>
      </c>
      <c r="F102">
        <v>12.4</v>
      </c>
      <c r="G102">
        <v>0</v>
      </c>
      <c r="H102" t="s">
        <v>12</v>
      </c>
      <c r="I102" t="s">
        <v>11</v>
      </c>
      <c r="J102" s="2">
        <v>45758.416666666657</v>
      </c>
      <c r="K102">
        <f t="shared" si="3"/>
        <v>566.70000000000005</v>
      </c>
      <c r="L102" s="9">
        <f t="shared" si="4"/>
        <v>0.9838541666666667</v>
      </c>
      <c r="M102">
        <f t="shared" si="5"/>
        <v>0</v>
      </c>
    </row>
    <row r="103" spans="1:13" x14ac:dyDescent="0.35">
      <c r="A103" s="2">
        <v>45759</v>
      </c>
      <c r="B103">
        <v>6777</v>
      </c>
      <c r="C103">
        <v>5570</v>
      </c>
      <c r="D103">
        <v>1207</v>
      </c>
      <c r="E103">
        <v>1253</v>
      </c>
      <c r="F103">
        <v>13.3</v>
      </c>
      <c r="G103">
        <v>0</v>
      </c>
      <c r="H103" t="s">
        <v>14</v>
      </c>
      <c r="I103" t="s">
        <v>11</v>
      </c>
      <c r="J103" s="2">
        <v>45759.375</v>
      </c>
      <c r="K103">
        <f t="shared" si="3"/>
        <v>1220.8</v>
      </c>
      <c r="L103" s="9">
        <f t="shared" si="4"/>
        <v>0.9885666942833472</v>
      </c>
      <c r="M103">
        <f t="shared" si="5"/>
        <v>0</v>
      </c>
    </row>
    <row r="104" spans="1:13" x14ac:dyDescent="0.35">
      <c r="A104" s="2">
        <v>45760</v>
      </c>
      <c r="B104">
        <v>5579</v>
      </c>
      <c r="C104">
        <v>5350</v>
      </c>
      <c r="D104">
        <v>229</v>
      </c>
      <c r="E104">
        <v>54</v>
      </c>
      <c r="F104">
        <v>13.1</v>
      </c>
      <c r="G104">
        <v>0</v>
      </c>
      <c r="H104" t="s">
        <v>10</v>
      </c>
      <c r="I104" t="s">
        <v>11</v>
      </c>
      <c r="J104" s="2">
        <v>45760.5</v>
      </c>
      <c r="K104">
        <f t="shared" si="3"/>
        <v>176.5</v>
      </c>
      <c r="L104" s="9">
        <f t="shared" si="4"/>
        <v>0.77074235807860259</v>
      </c>
      <c r="M104">
        <f t="shared" si="5"/>
        <v>0</v>
      </c>
    </row>
    <row r="105" spans="1:13" x14ac:dyDescent="0.35">
      <c r="A105" s="2">
        <v>45761</v>
      </c>
      <c r="B105">
        <v>4161</v>
      </c>
      <c r="C105">
        <v>2966</v>
      </c>
      <c r="D105">
        <v>1195</v>
      </c>
      <c r="E105">
        <v>1349</v>
      </c>
      <c r="F105">
        <v>17.899999999999999</v>
      </c>
      <c r="G105">
        <v>1</v>
      </c>
      <c r="H105" t="s">
        <v>10</v>
      </c>
      <c r="I105" t="s">
        <v>11</v>
      </c>
      <c r="J105" s="2">
        <v>45761.416666666657</v>
      </c>
      <c r="K105">
        <f t="shared" si="3"/>
        <v>1241.2</v>
      </c>
      <c r="L105" s="9">
        <f t="shared" si="4"/>
        <v>0.96133891213389122</v>
      </c>
      <c r="M105">
        <f t="shared" si="5"/>
        <v>0.01</v>
      </c>
    </row>
    <row r="106" spans="1:13" x14ac:dyDescent="0.35">
      <c r="A106" s="2">
        <v>45762</v>
      </c>
      <c r="B106">
        <v>4201</v>
      </c>
      <c r="C106">
        <v>2968</v>
      </c>
      <c r="D106">
        <v>1233</v>
      </c>
      <c r="E106">
        <v>1338</v>
      </c>
      <c r="F106">
        <v>16.899999999999999</v>
      </c>
      <c r="G106">
        <v>0</v>
      </c>
      <c r="H106" t="s">
        <v>14</v>
      </c>
      <c r="I106" t="s">
        <v>11</v>
      </c>
      <c r="J106" s="2">
        <v>45762.541666666657</v>
      </c>
      <c r="K106">
        <f t="shared" si="3"/>
        <v>1264.5</v>
      </c>
      <c r="L106" s="9">
        <f t="shared" si="4"/>
        <v>0.97445255474452552</v>
      </c>
      <c r="M106">
        <f t="shared" si="5"/>
        <v>0</v>
      </c>
    </row>
    <row r="107" spans="1:13" x14ac:dyDescent="0.35">
      <c r="A107" s="2">
        <v>45763</v>
      </c>
      <c r="B107">
        <v>5981</v>
      </c>
      <c r="C107">
        <v>5042</v>
      </c>
      <c r="D107">
        <v>939</v>
      </c>
      <c r="E107">
        <v>751</v>
      </c>
      <c r="F107">
        <v>9.6</v>
      </c>
      <c r="G107">
        <v>0</v>
      </c>
      <c r="H107" t="s">
        <v>14</v>
      </c>
      <c r="I107" t="s">
        <v>11</v>
      </c>
      <c r="J107" s="2">
        <v>45763.375</v>
      </c>
      <c r="K107">
        <f t="shared" si="3"/>
        <v>882.6</v>
      </c>
      <c r="L107" s="9">
        <f t="shared" si="4"/>
        <v>0.93993610223642177</v>
      </c>
      <c r="M107">
        <f t="shared" si="5"/>
        <v>0</v>
      </c>
    </row>
    <row r="108" spans="1:13" x14ac:dyDescent="0.35">
      <c r="A108" s="2">
        <v>45764</v>
      </c>
      <c r="B108">
        <v>4995</v>
      </c>
      <c r="C108">
        <v>5249</v>
      </c>
      <c r="D108">
        <v>-254</v>
      </c>
      <c r="E108">
        <v>-139</v>
      </c>
      <c r="F108">
        <v>17.5</v>
      </c>
      <c r="G108">
        <v>0</v>
      </c>
      <c r="H108" t="s">
        <v>14</v>
      </c>
      <c r="I108" t="s">
        <v>13</v>
      </c>
      <c r="J108" s="2">
        <v>45764.416666666657</v>
      </c>
      <c r="K108">
        <f t="shared" si="3"/>
        <v>-219.5</v>
      </c>
      <c r="L108" s="9">
        <f t="shared" si="4"/>
        <v>1.1358267716535433</v>
      </c>
      <c r="M108">
        <f t="shared" si="5"/>
        <v>0</v>
      </c>
    </row>
    <row r="109" spans="1:13" x14ac:dyDescent="0.35">
      <c r="A109" s="2">
        <v>45765</v>
      </c>
      <c r="B109">
        <v>6317</v>
      </c>
      <c r="C109">
        <v>5982</v>
      </c>
      <c r="D109">
        <v>335</v>
      </c>
      <c r="E109">
        <v>525</v>
      </c>
      <c r="F109">
        <v>12.6</v>
      </c>
      <c r="G109">
        <v>0</v>
      </c>
      <c r="H109" t="s">
        <v>12</v>
      </c>
      <c r="I109" t="s">
        <v>11</v>
      </c>
      <c r="J109" s="2">
        <v>45765.5</v>
      </c>
      <c r="K109">
        <f t="shared" si="3"/>
        <v>392</v>
      </c>
      <c r="L109" s="9">
        <f t="shared" si="4"/>
        <v>0.82985074626865674</v>
      </c>
      <c r="M109">
        <f t="shared" si="5"/>
        <v>0</v>
      </c>
    </row>
    <row r="110" spans="1:13" x14ac:dyDescent="0.35">
      <c r="A110" s="2">
        <v>45766</v>
      </c>
      <c r="B110">
        <v>7934</v>
      </c>
      <c r="C110">
        <v>6972</v>
      </c>
      <c r="D110">
        <v>962</v>
      </c>
      <c r="E110">
        <v>1074</v>
      </c>
      <c r="F110">
        <v>18.100000000000001</v>
      </c>
      <c r="G110">
        <v>0</v>
      </c>
      <c r="H110" t="s">
        <v>12</v>
      </c>
      <c r="I110" t="s">
        <v>11</v>
      </c>
      <c r="J110" s="2">
        <v>45766.333333333343</v>
      </c>
      <c r="K110">
        <f t="shared" si="3"/>
        <v>995.6</v>
      </c>
      <c r="L110" s="9">
        <f t="shared" si="4"/>
        <v>0.96507276507276507</v>
      </c>
      <c r="M110">
        <f t="shared" si="5"/>
        <v>0</v>
      </c>
    </row>
    <row r="111" spans="1:13" x14ac:dyDescent="0.35">
      <c r="A111" s="2">
        <v>45767</v>
      </c>
      <c r="B111">
        <v>4815</v>
      </c>
      <c r="C111">
        <v>5113</v>
      </c>
      <c r="D111">
        <v>-298</v>
      </c>
      <c r="E111">
        <v>-463</v>
      </c>
      <c r="F111">
        <v>13.3</v>
      </c>
      <c r="G111">
        <v>0</v>
      </c>
      <c r="H111" t="s">
        <v>10</v>
      </c>
      <c r="I111" t="s">
        <v>11</v>
      </c>
      <c r="J111" s="2">
        <v>45767.333333333343</v>
      </c>
      <c r="K111">
        <f t="shared" si="3"/>
        <v>-347.5</v>
      </c>
      <c r="L111" s="9">
        <f t="shared" si="4"/>
        <v>1.1661073825503356</v>
      </c>
      <c r="M111">
        <f t="shared" si="5"/>
        <v>0</v>
      </c>
    </row>
    <row r="112" spans="1:13" x14ac:dyDescent="0.35">
      <c r="A112" s="2">
        <v>45768</v>
      </c>
      <c r="B112">
        <v>7342</v>
      </c>
      <c r="C112">
        <v>6635</v>
      </c>
      <c r="D112">
        <v>707</v>
      </c>
      <c r="E112">
        <v>679</v>
      </c>
      <c r="F112">
        <v>11.7</v>
      </c>
      <c r="G112">
        <v>0</v>
      </c>
      <c r="H112" t="s">
        <v>14</v>
      </c>
      <c r="I112" t="s">
        <v>11</v>
      </c>
      <c r="J112" s="2">
        <v>45768.708333333343</v>
      </c>
      <c r="K112">
        <f t="shared" si="3"/>
        <v>698.6</v>
      </c>
      <c r="L112" s="9">
        <f t="shared" si="4"/>
        <v>0.98811881188118811</v>
      </c>
      <c r="M112">
        <f t="shared" si="5"/>
        <v>0</v>
      </c>
    </row>
    <row r="113" spans="1:13" x14ac:dyDescent="0.35">
      <c r="A113" s="2">
        <v>45769</v>
      </c>
      <c r="B113">
        <v>4455</v>
      </c>
      <c r="C113">
        <v>4833</v>
      </c>
      <c r="D113">
        <v>-378</v>
      </c>
      <c r="E113">
        <v>-559</v>
      </c>
      <c r="F113">
        <v>11.7</v>
      </c>
      <c r="G113">
        <v>0</v>
      </c>
      <c r="H113" t="s">
        <v>10</v>
      </c>
      <c r="I113" t="s">
        <v>11</v>
      </c>
      <c r="J113" s="2">
        <v>45769.666666666657</v>
      </c>
      <c r="K113">
        <f t="shared" si="3"/>
        <v>-432.3</v>
      </c>
      <c r="L113" s="9">
        <f t="shared" si="4"/>
        <v>1.1436507936507936</v>
      </c>
      <c r="M113">
        <f t="shared" si="5"/>
        <v>0</v>
      </c>
    </row>
    <row r="114" spans="1:13" x14ac:dyDescent="0.35">
      <c r="A114" s="2">
        <v>45770</v>
      </c>
      <c r="B114">
        <v>7533</v>
      </c>
      <c r="C114">
        <v>7633</v>
      </c>
      <c r="D114">
        <v>-100</v>
      </c>
      <c r="E114">
        <v>20</v>
      </c>
      <c r="F114">
        <v>9</v>
      </c>
      <c r="G114">
        <v>0</v>
      </c>
      <c r="H114" t="s">
        <v>10</v>
      </c>
      <c r="I114" t="s">
        <v>11</v>
      </c>
      <c r="J114" s="2">
        <v>45770.583333333343</v>
      </c>
      <c r="K114">
        <f t="shared" si="3"/>
        <v>-64</v>
      </c>
      <c r="L114" s="9">
        <f t="shared" si="4"/>
        <v>1.3599999999999999</v>
      </c>
      <c r="M114">
        <f t="shared" si="5"/>
        <v>0</v>
      </c>
    </row>
    <row r="115" spans="1:13" x14ac:dyDescent="0.35">
      <c r="A115" s="2">
        <v>45771</v>
      </c>
      <c r="B115">
        <v>7798</v>
      </c>
      <c r="C115">
        <v>7532</v>
      </c>
      <c r="D115">
        <v>266</v>
      </c>
      <c r="E115">
        <v>329</v>
      </c>
      <c r="F115">
        <v>14.1</v>
      </c>
      <c r="G115">
        <v>0</v>
      </c>
      <c r="H115" t="s">
        <v>10</v>
      </c>
      <c r="I115" t="s">
        <v>11</v>
      </c>
      <c r="J115" s="2">
        <v>45771.333333333343</v>
      </c>
      <c r="K115">
        <f t="shared" si="3"/>
        <v>284.89999999999998</v>
      </c>
      <c r="L115" s="9">
        <f t="shared" si="4"/>
        <v>0.92894736842105274</v>
      </c>
      <c r="M115">
        <f t="shared" si="5"/>
        <v>0</v>
      </c>
    </row>
    <row r="116" spans="1:13" x14ac:dyDescent="0.35">
      <c r="A116" s="2">
        <v>45772</v>
      </c>
      <c r="B116">
        <v>5275</v>
      </c>
      <c r="C116">
        <v>5482</v>
      </c>
      <c r="D116">
        <v>-207</v>
      </c>
      <c r="E116">
        <v>-8</v>
      </c>
      <c r="F116">
        <v>11.3</v>
      </c>
      <c r="G116">
        <v>0</v>
      </c>
      <c r="H116" t="s">
        <v>10</v>
      </c>
      <c r="I116" t="s">
        <v>11</v>
      </c>
      <c r="J116" s="2">
        <v>45772.625</v>
      </c>
      <c r="K116">
        <f t="shared" si="3"/>
        <v>-147.30000000000001</v>
      </c>
      <c r="L116" s="9">
        <f t="shared" si="4"/>
        <v>1.2884057971014493</v>
      </c>
      <c r="M116">
        <f t="shared" si="5"/>
        <v>0</v>
      </c>
    </row>
    <row r="117" spans="1:13" x14ac:dyDescent="0.35">
      <c r="A117" s="2">
        <v>45773</v>
      </c>
      <c r="B117">
        <v>5016</v>
      </c>
      <c r="C117">
        <v>5237</v>
      </c>
      <c r="D117">
        <v>-221</v>
      </c>
      <c r="E117">
        <v>-280</v>
      </c>
      <c r="F117">
        <v>7.8</v>
      </c>
      <c r="G117">
        <v>0</v>
      </c>
      <c r="H117" t="s">
        <v>14</v>
      </c>
      <c r="I117" t="s">
        <v>11</v>
      </c>
      <c r="J117" s="2">
        <v>45773.416666666657</v>
      </c>
      <c r="K117">
        <f t="shared" si="3"/>
        <v>-238.7</v>
      </c>
      <c r="L117" s="9">
        <f t="shared" si="4"/>
        <v>1.0800904977375565</v>
      </c>
      <c r="M117">
        <f t="shared" si="5"/>
        <v>0</v>
      </c>
    </row>
    <row r="118" spans="1:13" x14ac:dyDescent="0.35">
      <c r="A118" s="2">
        <v>45774</v>
      </c>
      <c r="B118">
        <v>7773</v>
      </c>
      <c r="C118">
        <v>6413</v>
      </c>
      <c r="D118">
        <v>1360</v>
      </c>
      <c r="E118">
        <v>1530</v>
      </c>
      <c r="F118">
        <v>12.4</v>
      </c>
      <c r="G118">
        <v>0</v>
      </c>
      <c r="H118" t="s">
        <v>10</v>
      </c>
      <c r="I118" t="s">
        <v>11</v>
      </c>
      <c r="J118" s="2">
        <v>45774.625</v>
      </c>
      <c r="K118">
        <f t="shared" si="3"/>
        <v>1411</v>
      </c>
      <c r="L118" s="9">
        <f t="shared" si="4"/>
        <v>0.96250000000000002</v>
      </c>
      <c r="M118">
        <f t="shared" si="5"/>
        <v>0</v>
      </c>
    </row>
    <row r="119" spans="1:13" x14ac:dyDescent="0.35">
      <c r="A119" s="2">
        <v>45775</v>
      </c>
      <c r="B119">
        <v>6343</v>
      </c>
      <c r="C119">
        <v>5960</v>
      </c>
      <c r="D119">
        <v>383</v>
      </c>
      <c r="E119">
        <v>325</v>
      </c>
      <c r="F119">
        <v>15.7</v>
      </c>
      <c r="G119">
        <v>0</v>
      </c>
      <c r="H119" t="s">
        <v>14</v>
      </c>
      <c r="I119" t="s">
        <v>13</v>
      </c>
      <c r="J119" s="2">
        <v>45775.5</v>
      </c>
      <c r="K119">
        <f t="shared" si="3"/>
        <v>365.6</v>
      </c>
      <c r="L119" s="9">
        <f t="shared" si="4"/>
        <v>0.95456919060052225</v>
      </c>
      <c r="M119">
        <f t="shared" si="5"/>
        <v>0</v>
      </c>
    </row>
    <row r="120" spans="1:13" x14ac:dyDescent="0.35">
      <c r="A120" s="2">
        <v>45776</v>
      </c>
      <c r="B120">
        <v>7796</v>
      </c>
      <c r="C120">
        <v>6663</v>
      </c>
      <c r="D120">
        <v>1133</v>
      </c>
      <c r="E120">
        <v>1024</v>
      </c>
      <c r="F120">
        <v>10.9</v>
      </c>
      <c r="G120">
        <v>0</v>
      </c>
      <c r="H120" t="s">
        <v>14</v>
      </c>
      <c r="I120" t="s">
        <v>11</v>
      </c>
      <c r="J120" s="2">
        <v>45776.333333333343</v>
      </c>
      <c r="K120">
        <f t="shared" si="3"/>
        <v>1100.3</v>
      </c>
      <c r="L120" s="9">
        <f t="shared" si="4"/>
        <v>0.97113857016769634</v>
      </c>
      <c r="M120">
        <f t="shared" si="5"/>
        <v>0</v>
      </c>
    </row>
    <row r="121" spans="1:13" x14ac:dyDescent="0.35">
      <c r="A121" s="2">
        <v>45777</v>
      </c>
      <c r="B121">
        <v>6767</v>
      </c>
      <c r="C121">
        <v>7070</v>
      </c>
      <c r="D121">
        <v>-303</v>
      </c>
      <c r="E121">
        <v>-150</v>
      </c>
      <c r="F121">
        <v>18.899999999999999</v>
      </c>
      <c r="G121">
        <v>0</v>
      </c>
      <c r="H121" t="s">
        <v>12</v>
      </c>
      <c r="I121" t="s">
        <v>11</v>
      </c>
      <c r="J121" s="2">
        <v>45777.583333333343</v>
      </c>
      <c r="K121">
        <f t="shared" si="3"/>
        <v>-257.10000000000002</v>
      </c>
      <c r="L121" s="9">
        <f t="shared" si="4"/>
        <v>1.1514851485148514</v>
      </c>
      <c r="M121">
        <f t="shared" si="5"/>
        <v>0</v>
      </c>
    </row>
    <row r="122" spans="1:13" x14ac:dyDescent="0.35">
      <c r="A122" s="2">
        <v>45778</v>
      </c>
      <c r="B122">
        <v>7820</v>
      </c>
      <c r="C122">
        <v>7339</v>
      </c>
      <c r="D122">
        <v>481</v>
      </c>
      <c r="E122">
        <v>602</v>
      </c>
      <c r="F122">
        <v>11.5</v>
      </c>
      <c r="G122">
        <v>0</v>
      </c>
      <c r="H122" t="s">
        <v>14</v>
      </c>
      <c r="I122" t="s">
        <v>11</v>
      </c>
      <c r="J122" s="2">
        <v>45778.5</v>
      </c>
      <c r="K122">
        <f t="shared" si="3"/>
        <v>517.29999999999995</v>
      </c>
      <c r="L122" s="9">
        <f t="shared" si="4"/>
        <v>0.92453222453222461</v>
      </c>
      <c r="M122">
        <f t="shared" si="5"/>
        <v>0</v>
      </c>
    </row>
    <row r="123" spans="1:13" x14ac:dyDescent="0.35">
      <c r="A123" s="2">
        <v>45779</v>
      </c>
      <c r="B123">
        <v>4337</v>
      </c>
      <c r="C123">
        <v>2907</v>
      </c>
      <c r="D123">
        <v>1430</v>
      </c>
      <c r="E123">
        <v>1517</v>
      </c>
      <c r="F123">
        <v>17.8</v>
      </c>
      <c r="G123">
        <v>0</v>
      </c>
      <c r="H123" t="s">
        <v>12</v>
      </c>
      <c r="I123" t="s">
        <v>11</v>
      </c>
      <c r="J123" s="2">
        <v>45779.541666666657</v>
      </c>
      <c r="K123">
        <f t="shared" si="3"/>
        <v>1456.1</v>
      </c>
      <c r="L123" s="9">
        <f t="shared" si="4"/>
        <v>0.98174825174825187</v>
      </c>
      <c r="M123">
        <f t="shared" si="5"/>
        <v>0</v>
      </c>
    </row>
    <row r="124" spans="1:13" x14ac:dyDescent="0.35">
      <c r="A124" s="2">
        <v>45780</v>
      </c>
      <c r="B124">
        <v>4878</v>
      </c>
      <c r="C124">
        <v>3844</v>
      </c>
      <c r="D124">
        <v>1034</v>
      </c>
      <c r="E124">
        <v>1048</v>
      </c>
      <c r="F124">
        <v>7.7</v>
      </c>
      <c r="G124">
        <v>0</v>
      </c>
      <c r="H124" t="s">
        <v>14</v>
      </c>
      <c r="I124" t="s">
        <v>11</v>
      </c>
      <c r="J124" s="2">
        <v>45780.541666666657</v>
      </c>
      <c r="K124">
        <f t="shared" si="3"/>
        <v>1038.2</v>
      </c>
      <c r="L124" s="9">
        <f t="shared" si="4"/>
        <v>0.99593810444874276</v>
      </c>
      <c r="M124">
        <f t="shared" si="5"/>
        <v>0</v>
      </c>
    </row>
    <row r="125" spans="1:13" x14ac:dyDescent="0.35">
      <c r="A125" s="2">
        <v>45781</v>
      </c>
      <c r="B125">
        <v>5076</v>
      </c>
      <c r="C125">
        <v>4825</v>
      </c>
      <c r="D125">
        <v>251</v>
      </c>
      <c r="E125">
        <v>392</v>
      </c>
      <c r="F125">
        <v>16</v>
      </c>
      <c r="G125">
        <v>0</v>
      </c>
      <c r="H125" t="s">
        <v>14</v>
      </c>
      <c r="I125" t="s">
        <v>11</v>
      </c>
      <c r="J125" s="2">
        <v>45781.625</v>
      </c>
      <c r="K125">
        <f t="shared" si="3"/>
        <v>293.3</v>
      </c>
      <c r="L125" s="9">
        <f t="shared" si="4"/>
        <v>0.83147410358565732</v>
      </c>
      <c r="M125">
        <f t="shared" si="5"/>
        <v>0</v>
      </c>
    </row>
    <row r="126" spans="1:13" x14ac:dyDescent="0.35">
      <c r="A126" s="2">
        <v>45782</v>
      </c>
      <c r="B126">
        <v>4791</v>
      </c>
      <c r="C126">
        <v>5148</v>
      </c>
      <c r="D126">
        <v>-357</v>
      </c>
      <c r="E126">
        <v>-507</v>
      </c>
      <c r="F126">
        <v>21.4</v>
      </c>
      <c r="G126">
        <v>0</v>
      </c>
      <c r="H126" t="s">
        <v>14</v>
      </c>
      <c r="I126" t="s">
        <v>13</v>
      </c>
      <c r="J126" s="2">
        <v>45782.666666666657</v>
      </c>
      <c r="K126">
        <f t="shared" si="3"/>
        <v>-402</v>
      </c>
      <c r="L126" s="9">
        <f t="shared" si="4"/>
        <v>1.1260504201680672</v>
      </c>
      <c r="M126">
        <f t="shared" si="5"/>
        <v>0</v>
      </c>
    </row>
    <row r="127" spans="1:13" x14ac:dyDescent="0.35">
      <c r="A127" s="2">
        <v>45783</v>
      </c>
      <c r="B127">
        <v>7993</v>
      </c>
      <c r="C127">
        <v>7885</v>
      </c>
      <c r="D127">
        <v>108</v>
      </c>
      <c r="E127">
        <v>60</v>
      </c>
      <c r="F127">
        <v>16.600000000000001</v>
      </c>
      <c r="G127">
        <v>0</v>
      </c>
      <c r="H127" t="s">
        <v>12</v>
      </c>
      <c r="I127" t="s">
        <v>11</v>
      </c>
      <c r="J127" s="2">
        <v>45783.375</v>
      </c>
      <c r="K127">
        <f t="shared" si="3"/>
        <v>93.6</v>
      </c>
      <c r="L127" s="9">
        <f t="shared" si="4"/>
        <v>0.86666666666666659</v>
      </c>
      <c r="M127">
        <f t="shared" si="5"/>
        <v>0</v>
      </c>
    </row>
    <row r="128" spans="1:13" x14ac:dyDescent="0.35">
      <c r="A128" s="2">
        <v>45784</v>
      </c>
      <c r="B128">
        <v>6264</v>
      </c>
      <c r="C128">
        <v>5540</v>
      </c>
      <c r="D128">
        <v>724</v>
      </c>
      <c r="E128">
        <v>709</v>
      </c>
      <c r="F128">
        <v>16.7</v>
      </c>
      <c r="G128">
        <v>0</v>
      </c>
      <c r="H128" t="s">
        <v>12</v>
      </c>
      <c r="I128" t="s">
        <v>11</v>
      </c>
      <c r="J128" s="2">
        <v>45784.666666666657</v>
      </c>
      <c r="K128">
        <f t="shared" si="3"/>
        <v>719.5</v>
      </c>
      <c r="L128" s="9">
        <f t="shared" si="4"/>
        <v>0.99378453038674031</v>
      </c>
      <c r="M128">
        <f t="shared" si="5"/>
        <v>0</v>
      </c>
    </row>
    <row r="129" spans="1:13" x14ac:dyDescent="0.35">
      <c r="A129" s="2">
        <v>45785</v>
      </c>
      <c r="B129">
        <v>4763</v>
      </c>
      <c r="C129">
        <v>4116</v>
      </c>
      <c r="D129">
        <v>647</v>
      </c>
      <c r="E129">
        <v>509</v>
      </c>
      <c r="F129">
        <v>9.1999999999999993</v>
      </c>
      <c r="G129">
        <v>0</v>
      </c>
      <c r="H129" t="s">
        <v>10</v>
      </c>
      <c r="I129" t="s">
        <v>11</v>
      </c>
      <c r="J129" s="2">
        <v>45785.708333333343</v>
      </c>
      <c r="K129">
        <f t="shared" si="3"/>
        <v>605.6</v>
      </c>
      <c r="L129" s="9">
        <f t="shared" si="4"/>
        <v>0.93601236476043281</v>
      </c>
      <c r="M129">
        <f t="shared" si="5"/>
        <v>0</v>
      </c>
    </row>
    <row r="130" spans="1:13" x14ac:dyDescent="0.35">
      <c r="A130" s="2">
        <v>45786</v>
      </c>
      <c r="B130">
        <v>6235</v>
      </c>
      <c r="C130">
        <v>6549</v>
      </c>
      <c r="D130">
        <v>-314</v>
      </c>
      <c r="E130">
        <v>-325</v>
      </c>
      <c r="F130">
        <v>16.7</v>
      </c>
      <c r="G130">
        <v>0</v>
      </c>
      <c r="H130" t="s">
        <v>12</v>
      </c>
      <c r="I130" t="s">
        <v>13</v>
      </c>
      <c r="J130" s="2">
        <v>45786.666666666657</v>
      </c>
      <c r="K130">
        <f t="shared" si="3"/>
        <v>-317.3</v>
      </c>
      <c r="L130" s="9">
        <f t="shared" si="4"/>
        <v>1.0105095541401274</v>
      </c>
      <c r="M130">
        <f t="shared" si="5"/>
        <v>0</v>
      </c>
    </row>
    <row r="131" spans="1:13" x14ac:dyDescent="0.35">
      <c r="A131" s="2">
        <v>45787</v>
      </c>
      <c r="B131">
        <v>4379</v>
      </c>
      <c r="C131">
        <v>3530</v>
      </c>
      <c r="D131">
        <v>849</v>
      </c>
      <c r="E131">
        <v>773</v>
      </c>
      <c r="F131">
        <v>14.2</v>
      </c>
      <c r="G131">
        <v>0</v>
      </c>
      <c r="H131" t="s">
        <v>12</v>
      </c>
      <c r="I131" t="s">
        <v>11</v>
      </c>
      <c r="J131" s="2">
        <v>45787.708333333343</v>
      </c>
      <c r="K131">
        <f t="shared" ref="K131:K194" si="6">D131+(E131-D131)*0.3</f>
        <v>826.2</v>
      </c>
      <c r="L131" s="9">
        <f t="shared" ref="L131:L194" si="7">IF(D131&lt;&gt;0,(1-ABS(D131-K131)/D131),"")</f>
        <v>0.97314487632508839</v>
      </c>
      <c r="M131">
        <f t="shared" ref="M131:M194" si="8">G131/100</f>
        <v>0</v>
      </c>
    </row>
    <row r="132" spans="1:13" x14ac:dyDescent="0.35">
      <c r="A132" s="2">
        <v>45788</v>
      </c>
      <c r="B132">
        <v>4492</v>
      </c>
      <c r="C132">
        <v>4529</v>
      </c>
      <c r="D132">
        <v>-37</v>
      </c>
      <c r="E132">
        <v>-88</v>
      </c>
      <c r="F132">
        <v>7.6</v>
      </c>
      <c r="G132">
        <v>0</v>
      </c>
      <c r="H132" t="s">
        <v>12</v>
      </c>
      <c r="I132" t="s">
        <v>11</v>
      </c>
      <c r="J132" s="2">
        <v>45788.708333333343</v>
      </c>
      <c r="K132">
        <f t="shared" si="6"/>
        <v>-52.3</v>
      </c>
      <c r="L132" s="9">
        <f t="shared" si="7"/>
        <v>1.4135135135135135</v>
      </c>
      <c r="M132">
        <f t="shared" si="8"/>
        <v>0</v>
      </c>
    </row>
    <row r="133" spans="1:13" x14ac:dyDescent="0.35">
      <c r="A133" s="2">
        <v>45789</v>
      </c>
      <c r="B133">
        <v>7112</v>
      </c>
      <c r="C133">
        <v>6240</v>
      </c>
      <c r="D133">
        <v>872</v>
      </c>
      <c r="E133">
        <v>985</v>
      </c>
      <c r="F133">
        <v>9</v>
      </c>
      <c r="G133">
        <v>0</v>
      </c>
      <c r="H133" t="s">
        <v>12</v>
      </c>
      <c r="I133" t="s">
        <v>11</v>
      </c>
      <c r="J133" s="2">
        <v>45789.583333333343</v>
      </c>
      <c r="K133">
        <f t="shared" si="6"/>
        <v>905.9</v>
      </c>
      <c r="L133" s="9">
        <f t="shared" si="7"/>
        <v>0.96112385321100924</v>
      </c>
      <c r="M133">
        <f t="shared" si="8"/>
        <v>0</v>
      </c>
    </row>
    <row r="134" spans="1:13" x14ac:dyDescent="0.35">
      <c r="A134" s="2">
        <v>45790</v>
      </c>
      <c r="B134">
        <v>5180</v>
      </c>
      <c r="C134">
        <v>3886</v>
      </c>
      <c r="D134">
        <v>1294</v>
      </c>
      <c r="E134">
        <v>1151</v>
      </c>
      <c r="F134">
        <v>18.100000000000001</v>
      </c>
      <c r="G134">
        <v>0</v>
      </c>
      <c r="H134" t="s">
        <v>10</v>
      </c>
      <c r="I134" t="s">
        <v>11</v>
      </c>
      <c r="J134" s="2">
        <v>45790.333333333343</v>
      </c>
      <c r="K134">
        <f t="shared" si="6"/>
        <v>1251.0999999999999</v>
      </c>
      <c r="L134" s="9">
        <f t="shared" si="7"/>
        <v>0.96684698608964448</v>
      </c>
      <c r="M134">
        <f t="shared" si="8"/>
        <v>0</v>
      </c>
    </row>
    <row r="135" spans="1:13" x14ac:dyDescent="0.35">
      <c r="A135" s="2">
        <v>45791</v>
      </c>
      <c r="B135">
        <v>6062</v>
      </c>
      <c r="C135">
        <v>5903</v>
      </c>
      <c r="D135">
        <v>159</v>
      </c>
      <c r="E135">
        <v>300</v>
      </c>
      <c r="F135">
        <v>13.2</v>
      </c>
      <c r="G135">
        <v>0</v>
      </c>
      <c r="H135" t="s">
        <v>12</v>
      </c>
      <c r="I135" t="s">
        <v>11</v>
      </c>
      <c r="J135" s="2">
        <v>45791.583333333343</v>
      </c>
      <c r="K135">
        <f t="shared" si="6"/>
        <v>201.3</v>
      </c>
      <c r="L135" s="9">
        <f t="shared" si="7"/>
        <v>0.73396226415094334</v>
      </c>
      <c r="M135">
        <f t="shared" si="8"/>
        <v>0</v>
      </c>
    </row>
    <row r="136" spans="1:13" x14ac:dyDescent="0.35">
      <c r="A136" s="2">
        <v>45792</v>
      </c>
      <c r="B136">
        <v>7884</v>
      </c>
      <c r="C136">
        <v>7621</v>
      </c>
      <c r="D136">
        <v>263</v>
      </c>
      <c r="E136">
        <v>367</v>
      </c>
      <c r="F136">
        <v>16.2</v>
      </c>
      <c r="G136">
        <v>0</v>
      </c>
      <c r="H136" t="s">
        <v>14</v>
      </c>
      <c r="I136" t="s">
        <v>13</v>
      </c>
      <c r="J136" s="2">
        <v>45792.708333333343</v>
      </c>
      <c r="K136">
        <f t="shared" si="6"/>
        <v>294.2</v>
      </c>
      <c r="L136" s="9">
        <f t="shared" si="7"/>
        <v>0.88136882129277572</v>
      </c>
      <c r="M136">
        <f t="shared" si="8"/>
        <v>0</v>
      </c>
    </row>
    <row r="137" spans="1:13" x14ac:dyDescent="0.35">
      <c r="A137" s="2">
        <v>45793</v>
      </c>
      <c r="B137">
        <v>4064</v>
      </c>
      <c r="C137">
        <v>3610</v>
      </c>
      <c r="D137">
        <v>454</v>
      </c>
      <c r="E137">
        <v>433</v>
      </c>
      <c r="F137">
        <v>12.7</v>
      </c>
      <c r="G137">
        <v>0</v>
      </c>
      <c r="H137" t="s">
        <v>14</v>
      </c>
      <c r="I137" t="s">
        <v>11</v>
      </c>
      <c r="J137" s="2">
        <v>45793.5</v>
      </c>
      <c r="K137">
        <f t="shared" si="6"/>
        <v>447.7</v>
      </c>
      <c r="L137" s="9">
        <f t="shared" si="7"/>
        <v>0.98612334801762114</v>
      </c>
      <c r="M137">
        <f t="shared" si="8"/>
        <v>0</v>
      </c>
    </row>
    <row r="138" spans="1:13" x14ac:dyDescent="0.35">
      <c r="A138" s="2">
        <v>45794</v>
      </c>
      <c r="B138">
        <v>7928</v>
      </c>
      <c r="C138">
        <v>6473</v>
      </c>
      <c r="D138">
        <v>1455</v>
      </c>
      <c r="E138">
        <v>1424</v>
      </c>
      <c r="F138">
        <v>15.7</v>
      </c>
      <c r="G138">
        <v>0</v>
      </c>
      <c r="H138" t="s">
        <v>12</v>
      </c>
      <c r="I138" t="s">
        <v>11</v>
      </c>
      <c r="J138" s="2">
        <v>45794.541666666657</v>
      </c>
      <c r="K138">
        <f t="shared" si="6"/>
        <v>1445.7</v>
      </c>
      <c r="L138" s="9">
        <f t="shared" si="7"/>
        <v>0.99360824742268039</v>
      </c>
      <c r="M138">
        <f t="shared" si="8"/>
        <v>0</v>
      </c>
    </row>
    <row r="139" spans="1:13" x14ac:dyDescent="0.35">
      <c r="A139" s="2">
        <v>45795</v>
      </c>
      <c r="B139">
        <v>7910</v>
      </c>
      <c r="C139">
        <v>8008</v>
      </c>
      <c r="D139">
        <v>-98</v>
      </c>
      <c r="E139">
        <v>27</v>
      </c>
      <c r="F139">
        <v>20</v>
      </c>
      <c r="G139">
        <v>0</v>
      </c>
      <c r="H139" t="s">
        <v>12</v>
      </c>
      <c r="I139" t="s">
        <v>11</v>
      </c>
      <c r="J139" s="2">
        <v>45795.708333333343</v>
      </c>
      <c r="K139">
        <f t="shared" si="6"/>
        <v>-60.5</v>
      </c>
      <c r="L139" s="9">
        <f t="shared" si="7"/>
        <v>1.3826530612244898</v>
      </c>
      <c r="M139">
        <f t="shared" si="8"/>
        <v>0</v>
      </c>
    </row>
    <row r="140" spans="1:13" x14ac:dyDescent="0.35">
      <c r="A140" s="2">
        <v>45796</v>
      </c>
      <c r="B140">
        <v>6568</v>
      </c>
      <c r="C140">
        <v>5699</v>
      </c>
      <c r="D140">
        <v>869</v>
      </c>
      <c r="E140">
        <v>939</v>
      </c>
      <c r="F140">
        <v>10.7</v>
      </c>
      <c r="G140">
        <v>0</v>
      </c>
      <c r="H140" t="s">
        <v>14</v>
      </c>
      <c r="I140" t="s">
        <v>11</v>
      </c>
      <c r="J140" s="2">
        <v>45796.583333333343</v>
      </c>
      <c r="K140">
        <f t="shared" si="6"/>
        <v>890</v>
      </c>
      <c r="L140" s="9">
        <f t="shared" si="7"/>
        <v>0.97583429228998853</v>
      </c>
      <c r="M140">
        <f t="shared" si="8"/>
        <v>0</v>
      </c>
    </row>
    <row r="141" spans="1:13" x14ac:dyDescent="0.35">
      <c r="A141" s="2">
        <v>45797</v>
      </c>
      <c r="B141">
        <v>5367</v>
      </c>
      <c r="C141">
        <v>3881</v>
      </c>
      <c r="D141">
        <v>1486</v>
      </c>
      <c r="E141">
        <v>1339</v>
      </c>
      <c r="F141">
        <v>9.5</v>
      </c>
      <c r="G141">
        <v>0</v>
      </c>
      <c r="H141" t="s">
        <v>14</v>
      </c>
      <c r="I141" t="s">
        <v>11</v>
      </c>
      <c r="J141" s="2">
        <v>45797.5</v>
      </c>
      <c r="K141">
        <f t="shared" si="6"/>
        <v>1441.9</v>
      </c>
      <c r="L141" s="9">
        <f t="shared" si="7"/>
        <v>0.97032301480484529</v>
      </c>
      <c r="M141">
        <f t="shared" si="8"/>
        <v>0</v>
      </c>
    </row>
    <row r="142" spans="1:13" x14ac:dyDescent="0.35">
      <c r="A142" s="2">
        <v>45798</v>
      </c>
      <c r="B142">
        <v>5152</v>
      </c>
      <c r="C142">
        <v>4118</v>
      </c>
      <c r="D142">
        <v>1034</v>
      </c>
      <c r="E142">
        <v>934</v>
      </c>
      <c r="F142">
        <v>9.9</v>
      </c>
      <c r="G142">
        <v>0</v>
      </c>
      <c r="H142" t="s">
        <v>10</v>
      </c>
      <c r="I142" t="s">
        <v>11</v>
      </c>
      <c r="J142" s="2">
        <v>45798.583333333343</v>
      </c>
      <c r="K142">
        <f t="shared" si="6"/>
        <v>1004</v>
      </c>
      <c r="L142" s="9">
        <f t="shared" si="7"/>
        <v>0.97098646034816249</v>
      </c>
      <c r="M142">
        <f t="shared" si="8"/>
        <v>0</v>
      </c>
    </row>
    <row r="143" spans="1:13" x14ac:dyDescent="0.35">
      <c r="A143" s="2">
        <v>45799</v>
      </c>
      <c r="B143">
        <v>6027</v>
      </c>
      <c r="C143">
        <v>6381</v>
      </c>
      <c r="D143">
        <v>-354</v>
      </c>
      <c r="E143">
        <v>-291</v>
      </c>
      <c r="F143">
        <v>19.2</v>
      </c>
      <c r="G143">
        <v>0</v>
      </c>
      <c r="H143" t="s">
        <v>14</v>
      </c>
      <c r="I143" t="s">
        <v>11</v>
      </c>
      <c r="J143" s="2">
        <v>45799.666666666657</v>
      </c>
      <c r="K143">
        <f t="shared" si="6"/>
        <v>-335.1</v>
      </c>
      <c r="L143" s="9">
        <f t="shared" si="7"/>
        <v>1.0533898305084746</v>
      </c>
      <c r="M143">
        <f t="shared" si="8"/>
        <v>0</v>
      </c>
    </row>
    <row r="144" spans="1:13" x14ac:dyDescent="0.35">
      <c r="A144" s="2">
        <v>45800</v>
      </c>
      <c r="B144">
        <v>6695</v>
      </c>
      <c r="C144">
        <v>6024</v>
      </c>
      <c r="D144">
        <v>671</v>
      </c>
      <c r="E144">
        <v>523</v>
      </c>
      <c r="F144">
        <v>19.100000000000001</v>
      </c>
      <c r="G144">
        <v>0</v>
      </c>
      <c r="H144" t="s">
        <v>14</v>
      </c>
      <c r="I144" t="s">
        <v>11</v>
      </c>
      <c r="J144" s="2">
        <v>45800.416666666657</v>
      </c>
      <c r="K144">
        <f t="shared" si="6"/>
        <v>626.6</v>
      </c>
      <c r="L144" s="9">
        <f t="shared" si="7"/>
        <v>0.93383010432190761</v>
      </c>
      <c r="M144">
        <f t="shared" si="8"/>
        <v>0</v>
      </c>
    </row>
    <row r="145" spans="1:13" x14ac:dyDescent="0.35">
      <c r="A145" s="2">
        <v>45801</v>
      </c>
      <c r="B145">
        <v>5495</v>
      </c>
      <c r="C145">
        <v>5132</v>
      </c>
      <c r="D145">
        <v>363</v>
      </c>
      <c r="E145">
        <v>222</v>
      </c>
      <c r="F145">
        <v>13</v>
      </c>
      <c r="G145">
        <v>0</v>
      </c>
      <c r="H145" t="s">
        <v>12</v>
      </c>
      <c r="I145" t="s">
        <v>11</v>
      </c>
      <c r="J145" s="2">
        <v>45801.625</v>
      </c>
      <c r="K145">
        <f t="shared" si="6"/>
        <v>320.7</v>
      </c>
      <c r="L145" s="9">
        <f t="shared" si="7"/>
        <v>0.88347107438016526</v>
      </c>
      <c r="M145">
        <f t="shared" si="8"/>
        <v>0</v>
      </c>
    </row>
    <row r="146" spans="1:13" x14ac:dyDescent="0.35">
      <c r="A146" s="2">
        <v>45802</v>
      </c>
      <c r="B146">
        <v>7134</v>
      </c>
      <c r="C146">
        <v>5900</v>
      </c>
      <c r="D146">
        <v>1234</v>
      </c>
      <c r="E146">
        <v>1141</v>
      </c>
      <c r="F146">
        <v>8.9</v>
      </c>
      <c r="G146">
        <v>0</v>
      </c>
      <c r="H146" t="s">
        <v>14</v>
      </c>
      <c r="I146" t="s">
        <v>11</v>
      </c>
      <c r="J146" s="2">
        <v>45802.375</v>
      </c>
      <c r="K146">
        <f t="shared" si="6"/>
        <v>1206.0999999999999</v>
      </c>
      <c r="L146" s="9">
        <f t="shared" si="7"/>
        <v>0.97739059967585085</v>
      </c>
      <c r="M146">
        <f t="shared" si="8"/>
        <v>0</v>
      </c>
    </row>
    <row r="147" spans="1:13" x14ac:dyDescent="0.35">
      <c r="A147" s="2">
        <v>45803</v>
      </c>
      <c r="B147">
        <v>5162</v>
      </c>
      <c r="C147">
        <v>3819</v>
      </c>
      <c r="D147">
        <v>1343</v>
      </c>
      <c r="E147">
        <v>1147</v>
      </c>
      <c r="F147">
        <v>18.3</v>
      </c>
      <c r="G147">
        <v>0</v>
      </c>
      <c r="H147" t="s">
        <v>10</v>
      </c>
      <c r="I147" t="s">
        <v>11</v>
      </c>
      <c r="J147" s="2">
        <v>45803.583333333343</v>
      </c>
      <c r="K147">
        <f t="shared" si="6"/>
        <v>1284.2</v>
      </c>
      <c r="L147" s="9">
        <f t="shared" si="7"/>
        <v>0.95621742367833207</v>
      </c>
      <c r="M147">
        <f t="shared" si="8"/>
        <v>0</v>
      </c>
    </row>
    <row r="148" spans="1:13" x14ac:dyDescent="0.35">
      <c r="A148" s="2">
        <v>45804</v>
      </c>
      <c r="B148">
        <v>5522</v>
      </c>
      <c r="C148">
        <v>5534</v>
      </c>
      <c r="D148">
        <v>-12</v>
      </c>
      <c r="E148">
        <v>-110</v>
      </c>
      <c r="F148">
        <v>16</v>
      </c>
      <c r="G148">
        <v>0</v>
      </c>
      <c r="H148" t="s">
        <v>14</v>
      </c>
      <c r="I148" t="s">
        <v>11</v>
      </c>
      <c r="J148" s="2">
        <v>45804.375</v>
      </c>
      <c r="K148">
        <f t="shared" si="6"/>
        <v>-41.4</v>
      </c>
      <c r="L148" s="9">
        <f t="shared" si="7"/>
        <v>3.4499999999999997</v>
      </c>
      <c r="M148">
        <f t="shared" si="8"/>
        <v>0</v>
      </c>
    </row>
    <row r="149" spans="1:13" x14ac:dyDescent="0.35">
      <c r="A149" s="2">
        <v>45805</v>
      </c>
      <c r="B149">
        <v>6640</v>
      </c>
      <c r="C149">
        <v>6212</v>
      </c>
      <c r="D149">
        <v>428</v>
      </c>
      <c r="E149">
        <v>423</v>
      </c>
      <c r="F149">
        <v>12.2</v>
      </c>
      <c r="G149">
        <v>0</v>
      </c>
      <c r="H149" t="s">
        <v>12</v>
      </c>
      <c r="I149" t="s">
        <v>11</v>
      </c>
      <c r="J149" s="2">
        <v>45805.458333333343</v>
      </c>
      <c r="K149">
        <f t="shared" si="6"/>
        <v>426.5</v>
      </c>
      <c r="L149" s="9">
        <f t="shared" si="7"/>
        <v>0.99649532710280375</v>
      </c>
      <c r="M149">
        <f t="shared" si="8"/>
        <v>0</v>
      </c>
    </row>
    <row r="150" spans="1:13" x14ac:dyDescent="0.35">
      <c r="A150" s="2">
        <v>45806</v>
      </c>
      <c r="B150">
        <v>4391</v>
      </c>
      <c r="C150">
        <v>2932</v>
      </c>
      <c r="D150">
        <v>1459</v>
      </c>
      <c r="E150">
        <v>1520</v>
      </c>
      <c r="F150">
        <v>20.399999999999999</v>
      </c>
      <c r="G150">
        <v>0</v>
      </c>
      <c r="H150" t="s">
        <v>12</v>
      </c>
      <c r="I150" t="s">
        <v>11</v>
      </c>
      <c r="J150" s="2">
        <v>45806.583333333343</v>
      </c>
      <c r="K150">
        <f t="shared" si="6"/>
        <v>1477.3</v>
      </c>
      <c r="L150" s="9">
        <f t="shared" si="7"/>
        <v>0.98745716244002746</v>
      </c>
      <c r="M150">
        <f t="shared" si="8"/>
        <v>0</v>
      </c>
    </row>
    <row r="151" spans="1:13" x14ac:dyDescent="0.35">
      <c r="A151" s="2">
        <v>45807</v>
      </c>
      <c r="B151">
        <v>5698</v>
      </c>
      <c r="C151">
        <v>4535</v>
      </c>
      <c r="D151">
        <v>1163</v>
      </c>
      <c r="E151">
        <v>1327</v>
      </c>
      <c r="F151">
        <v>15.3</v>
      </c>
      <c r="G151">
        <v>0</v>
      </c>
      <c r="H151" t="s">
        <v>14</v>
      </c>
      <c r="I151" t="s">
        <v>13</v>
      </c>
      <c r="J151" s="2">
        <v>45807.416666666657</v>
      </c>
      <c r="K151">
        <f t="shared" si="6"/>
        <v>1212.2</v>
      </c>
      <c r="L151" s="9">
        <f t="shared" si="7"/>
        <v>0.95769561478933785</v>
      </c>
      <c r="M151">
        <f t="shared" si="8"/>
        <v>0</v>
      </c>
    </row>
    <row r="152" spans="1:13" x14ac:dyDescent="0.35">
      <c r="A152" s="2">
        <v>45808</v>
      </c>
      <c r="B152">
        <v>4418</v>
      </c>
      <c r="C152">
        <v>4368</v>
      </c>
      <c r="D152">
        <v>50</v>
      </c>
      <c r="E152">
        <v>221</v>
      </c>
      <c r="F152">
        <v>18.3</v>
      </c>
      <c r="G152">
        <v>0</v>
      </c>
      <c r="H152" t="s">
        <v>12</v>
      </c>
      <c r="I152" t="s">
        <v>13</v>
      </c>
      <c r="J152" s="2">
        <v>45808.375</v>
      </c>
      <c r="K152">
        <f t="shared" si="6"/>
        <v>101.3</v>
      </c>
      <c r="L152" s="9">
        <f t="shared" si="7"/>
        <v>-2.6000000000000023E-2</v>
      </c>
      <c r="M152">
        <f t="shared" si="8"/>
        <v>0</v>
      </c>
    </row>
    <row r="153" spans="1:13" x14ac:dyDescent="0.35">
      <c r="A153" s="2">
        <v>45809</v>
      </c>
      <c r="B153">
        <v>6336</v>
      </c>
      <c r="C153">
        <v>6499</v>
      </c>
      <c r="D153">
        <v>-163</v>
      </c>
      <c r="E153">
        <v>-14</v>
      </c>
      <c r="F153">
        <v>14.1</v>
      </c>
      <c r="G153">
        <v>0</v>
      </c>
      <c r="H153" t="s">
        <v>10</v>
      </c>
      <c r="I153" t="s">
        <v>11</v>
      </c>
      <c r="J153" s="2">
        <v>45809.708333333343</v>
      </c>
      <c r="K153">
        <f t="shared" si="6"/>
        <v>-118.30000000000001</v>
      </c>
      <c r="L153" s="9">
        <f t="shared" si="7"/>
        <v>1.2742331288343558</v>
      </c>
      <c r="M153">
        <f t="shared" si="8"/>
        <v>0</v>
      </c>
    </row>
    <row r="154" spans="1:13" x14ac:dyDescent="0.35">
      <c r="A154" s="2">
        <v>45810</v>
      </c>
      <c r="B154">
        <v>4378</v>
      </c>
      <c r="C154">
        <v>4007</v>
      </c>
      <c r="D154">
        <v>371</v>
      </c>
      <c r="E154">
        <v>217</v>
      </c>
      <c r="F154">
        <v>10.6</v>
      </c>
      <c r="G154">
        <v>0</v>
      </c>
      <c r="H154" t="s">
        <v>10</v>
      </c>
      <c r="I154" t="s">
        <v>11</v>
      </c>
      <c r="J154" s="2">
        <v>45810.583333333343</v>
      </c>
      <c r="K154">
        <f t="shared" si="6"/>
        <v>324.8</v>
      </c>
      <c r="L154" s="9">
        <f t="shared" si="7"/>
        <v>0.87547169811320757</v>
      </c>
      <c r="M154">
        <f t="shared" si="8"/>
        <v>0</v>
      </c>
    </row>
    <row r="155" spans="1:13" x14ac:dyDescent="0.35">
      <c r="A155" s="2">
        <v>45811</v>
      </c>
      <c r="B155">
        <v>5796</v>
      </c>
      <c r="C155">
        <v>5656</v>
      </c>
      <c r="D155">
        <v>140</v>
      </c>
      <c r="E155">
        <v>294</v>
      </c>
      <c r="F155">
        <v>16.600000000000001</v>
      </c>
      <c r="G155">
        <v>0</v>
      </c>
      <c r="H155" t="s">
        <v>14</v>
      </c>
      <c r="I155" t="s">
        <v>11</v>
      </c>
      <c r="J155" s="2">
        <v>45811.333333333343</v>
      </c>
      <c r="K155">
        <f t="shared" si="6"/>
        <v>186.2</v>
      </c>
      <c r="L155" s="9">
        <f t="shared" si="7"/>
        <v>0.67000000000000015</v>
      </c>
      <c r="M155">
        <f t="shared" si="8"/>
        <v>0</v>
      </c>
    </row>
    <row r="156" spans="1:13" x14ac:dyDescent="0.35">
      <c r="A156" s="2">
        <v>45812</v>
      </c>
      <c r="B156">
        <v>7561</v>
      </c>
      <c r="C156">
        <v>6259</v>
      </c>
      <c r="D156">
        <v>1302</v>
      </c>
      <c r="E156">
        <v>1412</v>
      </c>
      <c r="F156">
        <v>18</v>
      </c>
      <c r="G156">
        <v>0</v>
      </c>
      <c r="H156" t="s">
        <v>14</v>
      </c>
      <c r="I156" t="s">
        <v>11</v>
      </c>
      <c r="J156" s="2">
        <v>45812.625</v>
      </c>
      <c r="K156">
        <f t="shared" si="6"/>
        <v>1335</v>
      </c>
      <c r="L156" s="9">
        <f t="shared" si="7"/>
        <v>0.97465437788018439</v>
      </c>
      <c r="M156">
        <f t="shared" si="8"/>
        <v>0</v>
      </c>
    </row>
    <row r="157" spans="1:13" x14ac:dyDescent="0.35">
      <c r="A157" s="2">
        <v>45813</v>
      </c>
      <c r="B157">
        <v>6278</v>
      </c>
      <c r="C157">
        <v>4802</v>
      </c>
      <c r="D157">
        <v>1476</v>
      </c>
      <c r="E157">
        <v>1583</v>
      </c>
      <c r="F157">
        <v>11.1</v>
      </c>
      <c r="G157">
        <v>1</v>
      </c>
      <c r="H157" t="s">
        <v>14</v>
      </c>
      <c r="I157" t="s">
        <v>11</v>
      </c>
      <c r="J157" s="2">
        <v>45813.416666666657</v>
      </c>
      <c r="K157">
        <f t="shared" si="6"/>
        <v>1508.1</v>
      </c>
      <c r="L157" s="9">
        <f t="shared" si="7"/>
        <v>0.97825203252032522</v>
      </c>
      <c r="M157">
        <f t="shared" si="8"/>
        <v>0.01</v>
      </c>
    </row>
    <row r="158" spans="1:13" x14ac:dyDescent="0.35">
      <c r="A158" s="2">
        <v>45814</v>
      </c>
      <c r="B158">
        <v>7065</v>
      </c>
      <c r="C158">
        <v>7093</v>
      </c>
      <c r="D158">
        <v>-28</v>
      </c>
      <c r="E158">
        <v>-85</v>
      </c>
      <c r="F158">
        <v>15.1</v>
      </c>
      <c r="G158">
        <v>0</v>
      </c>
      <c r="H158" t="s">
        <v>12</v>
      </c>
      <c r="I158" t="s">
        <v>11</v>
      </c>
      <c r="J158" s="2">
        <v>45814.375</v>
      </c>
      <c r="K158">
        <f t="shared" si="6"/>
        <v>-45.099999999999994</v>
      </c>
      <c r="L158" s="9">
        <f t="shared" si="7"/>
        <v>1.6107142857142855</v>
      </c>
      <c r="M158">
        <f t="shared" si="8"/>
        <v>0</v>
      </c>
    </row>
    <row r="159" spans="1:13" x14ac:dyDescent="0.35">
      <c r="A159" s="2">
        <v>45815</v>
      </c>
      <c r="B159">
        <v>6088</v>
      </c>
      <c r="C159">
        <v>4619</v>
      </c>
      <c r="D159">
        <v>1469</v>
      </c>
      <c r="E159">
        <v>1537</v>
      </c>
      <c r="F159">
        <v>10.6</v>
      </c>
      <c r="G159">
        <v>0</v>
      </c>
      <c r="H159" t="s">
        <v>10</v>
      </c>
      <c r="I159" t="s">
        <v>11</v>
      </c>
      <c r="J159" s="2">
        <v>45815.416666666657</v>
      </c>
      <c r="K159">
        <f t="shared" si="6"/>
        <v>1489.4</v>
      </c>
      <c r="L159" s="9">
        <f t="shared" si="7"/>
        <v>0.98611300204220553</v>
      </c>
      <c r="M159">
        <f t="shared" si="8"/>
        <v>0</v>
      </c>
    </row>
    <row r="160" spans="1:13" x14ac:dyDescent="0.35">
      <c r="A160" s="2">
        <v>45816</v>
      </c>
      <c r="B160">
        <v>7099</v>
      </c>
      <c r="C160">
        <v>7449</v>
      </c>
      <c r="D160">
        <v>-350</v>
      </c>
      <c r="E160">
        <v>-181</v>
      </c>
      <c r="F160">
        <v>20</v>
      </c>
      <c r="G160">
        <v>0</v>
      </c>
      <c r="H160" t="s">
        <v>10</v>
      </c>
      <c r="I160" t="s">
        <v>11</v>
      </c>
      <c r="J160" s="2">
        <v>45816.5</v>
      </c>
      <c r="K160">
        <f t="shared" si="6"/>
        <v>-299.3</v>
      </c>
      <c r="L160" s="9">
        <f t="shared" si="7"/>
        <v>1.1448571428571428</v>
      </c>
      <c r="M160">
        <f t="shared" si="8"/>
        <v>0</v>
      </c>
    </row>
    <row r="161" spans="1:13" x14ac:dyDescent="0.35">
      <c r="A161" s="2">
        <v>45817</v>
      </c>
      <c r="B161">
        <v>6182</v>
      </c>
      <c r="C161">
        <v>5244</v>
      </c>
      <c r="D161">
        <v>938</v>
      </c>
      <c r="E161">
        <v>861</v>
      </c>
      <c r="F161">
        <v>13.1</v>
      </c>
      <c r="G161">
        <v>0</v>
      </c>
      <c r="H161" t="s">
        <v>12</v>
      </c>
      <c r="I161" t="s">
        <v>11</v>
      </c>
      <c r="J161" s="2">
        <v>45817.625</v>
      </c>
      <c r="K161">
        <f t="shared" si="6"/>
        <v>914.9</v>
      </c>
      <c r="L161" s="9">
        <f t="shared" si="7"/>
        <v>0.97537313432835815</v>
      </c>
      <c r="M161">
        <f t="shared" si="8"/>
        <v>0</v>
      </c>
    </row>
    <row r="162" spans="1:13" x14ac:dyDescent="0.35">
      <c r="A162" s="2">
        <v>45818</v>
      </c>
      <c r="B162">
        <v>4200</v>
      </c>
      <c r="C162">
        <v>3379</v>
      </c>
      <c r="D162">
        <v>821</v>
      </c>
      <c r="E162">
        <v>726</v>
      </c>
      <c r="F162">
        <v>10.199999999999999</v>
      </c>
      <c r="G162">
        <v>0</v>
      </c>
      <c r="H162" t="s">
        <v>10</v>
      </c>
      <c r="I162" t="s">
        <v>11</v>
      </c>
      <c r="J162" s="2">
        <v>45818.708333333343</v>
      </c>
      <c r="K162">
        <f t="shared" si="6"/>
        <v>792.5</v>
      </c>
      <c r="L162" s="9">
        <f t="shared" si="7"/>
        <v>0.96528623629719856</v>
      </c>
      <c r="M162">
        <f t="shared" si="8"/>
        <v>0</v>
      </c>
    </row>
    <row r="163" spans="1:13" x14ac:dyDescent="0.35">
      <c r="A163" s="2">
        <v>45819</v>
      </c>
      <c r="B163">
        <v>5863</v>
      </c>
      <c r="C163">
        <v>4729</v>
      </c>
      <c r="D163">
        <v>1134</v>
      </c>
      <c r="E163">
        <v>1091</v>
      </c>
      <c r="F163">
        <v>12.7</v>
      </c>
      <c r="G163">
        <v>0</v>
      </c>
      <c r="H163" t="s">
        <v>14</v>
      </c>
      <c r="I163" t="s">
        <v>11</v>
      </c>
      <c r="J163" s="2">
        <v>45819.583333333343</v>
      </c>
      <c r="K163">
        <f t="shared" si="6"/>
        <v>1121.0999999999999</v>
      </c>
      <c r="L163" s="9">
        <f t="shared" si="7"/>
        <v>0.98862433862433852</v>
      </c>
      <c r="M163">
        <f t="shared" si="8"/>
        <v>0</v>
      </c>
    </row>
    <row r="164" spans="1:13" x14ac:dyDescent="0.35">
      <c r="A164" s="2">
        <v>45820</v>
      </c>
      <c r="B164">
        <v>4779</v>
      </c>
      <c r="C164">
        <v>5017</v>
      </c>
      <c r="D164">
        <v>-238</v>
      </c>
      <c r="E164">
        <v>-292</v>
      </c>
      <c r="F164">
        <v>13.2</v>
      </c>
      <c r="G164">
        <v>0</v>
      </c>
      <c r="H164" t="s">
        <v>14</v>
      </c>
      <c r="I164" t="s">
        <v>11</v>
      </c>
      <c r="J164" s="2">
        <v>45820.583333333343</v>
      </c>
      <c r="K164">
        <f t="shared" si="6"/>
        <v>-254.2</v>
      </c>
      <c r="L164" s="9">
        <f t="shared" si="7"/>
        <v>1.0680672268907563</v>
      </c>
      <c r="M164">
        <f t="shared" si="8"/>
        <v>0</v>
      </c>
    </row>
    <row r="165" spans="1:13" x14ac:dyDescent="0.35">
      <c r="A165" s="2">
        <v>45821</v>
      </c>
      <c r="B165">
        <v>6977</v>
      </c>
      <c r="C165">
        <v>5690</v>
      </c>
      <c r="D165">
        <v>1287</v>
      </c>
      <c r="E165">
        <v>1231</v>
      </c>
      <c r="F165">
        <v>11</v>
      </c>
      <c r="G165">
        <v>0</v>
      </c>
      <c r="H165" t="s">
        <v>14</v>
      </c>
      <c r="I165" t="s">
        <v>11</v>
      </c>
      <c r="J165" s="2">
        <v>45821.583333333343</v>
      </c>
      <c r="K165">
        <f t="shared" si="6"/>
        <v>1270.2</v>
      </c>
      <c r="L165" s="9">
        <f t="shared" si="7"/>
        <v>0.98694638694638703</v>
      </c>
      <c r="M165">
        <f t="shared" si="8"/>
        <v>0</v>
      </c>
    </row>
    <row r="166" spans="1:13" x14ac:dyDescent="0.35">
      <c r="A166" s="2">
        <v>45822</v>
      </c>
      <c r="B166">
        <v>7104</v>
      </c>
      <c r="C166">
        <v>7461</v>
      </c>
      <c r="D166">
        <v>-357</v>
      </c>
      <c r="E166">
        <v>-438</v>
      </c>
      <c r="F166">
        <v>14.4</v>
      </c>
      <c r="G166">
        <v>0</v>
      </c>
      <c r="H166" t="s">
        <v>10</v>
      </c>
      <c r="I166" t="s">
        <v>11</v>
      </c>
      <c r="J166" s="2">
        <v>45822.625</v>
      </c>
      <c r="K166">
        <f t="shared" si="6"/>
        <v>-381.3</v>
      </c>
      <c r="L166" s="9">
        <f t="shared" si="7"/>
        <v>1.0680672268907563</v>
      </c>
      <c r="M166">
        <f t="shared" si="8"/>
        <v>0</v>
      </c>
    </row>
    <row r="167" spans="1:13" x14ac:dyDescent="0.35">
      <c r="A167" s="2">
        <v>45823</v>
      </c>
      <c r="B167">
        <v>7119</v>
      </c>
      <c r="C167">
        <v>7274</v>
      </c>
      <c r="D167">
        <v>-155</v>
      </c>
      <c r="E167">
        <v>-37</v>
      </c>
      <c r="F167">
        <v>13.5</v>
      </c>
      <c r="G167">
        <v>0</v>
      </c>
      <c r="H167" t="s">
        <v>14</v>
      </c>
      <c r="I167" t="s">
        <v>11</v>
      </c>
      <c r="J167" s="2">
        <v>45823.333333333343</v>
      </c>
      <c r="K167">
        <f t="shared" si="6"/>
        <v>-119.6</v>
      </c>
      <c r="L167" s="9">
        <f t="shared" si="7"/>
        <v>1.2283870967741937</v>
      </c>
      <c r="M167">
        <f t="shared" si="8"/>
        <v>0</v>
      </c>
    </row>
    <row r="168" spans="1:13" x14ac:dyDescent="0.35">
      <c r="A168" s="2">
        <v>45824</v>
      </c>
      <c r="B168">
        <v>4502</v>
      </c>
      <c r="C168">
        <v>4379</v>
      </c>
      <c r="D168">
        <v>123</v>
      </c>
      <c r="E168">
        <v>197</v>
      </c>
      <c r="F168">
        <v>18.2</v>
      </c>
      <c r="G168">
        <v>0</v>
      </c>
      <c r="H168" t="s">
        <v>12</v>
      </c>
      <c r="I168" t="s">
        <v>11</v>
      </c>
      <c r="J168" s="2">
        <v>45824.458333333343</v>
      </c>
      <c r="K168">
        <f t="shared" si="6"/>
        <v>145.19999999999999</v>
      </c>
      <c r="L168" s="9">
        <f t="shared" si="7"/>
        <v>0.81951219512195128</v>
      </c>
      <c r="M168">
        <f t="shared" si="8"/>
        <v>0</v>
      </c>
    </row>
    <row r="169" spans="1:13" x14ac:dyDescent="0.35">
      <c r="A169" s="2">
        <v>45825</v>
      </c>
      <c r="B169">
        <v>6454</v>
      </c>
      <c r="C169">
        <v>5938</v>
      </c>
      <c r="D169">
        <v>516</v>
      </c>
      <c r="E169">
        <v>407</v>
      </c>
      <c r="F169">
        <v>11.7</v>
      </c>
      <c r="G169">
        <v>0</v>
      </c>
      <c r="H169" t="s">
        <v>12</v>
      </c>
      <c r="I169" t="s">
        <v>11</v>
      </c>
      <c r="J169" s="2">
        <v>45825.541666666657</v>
      </c>
      <c r="K169">
        <f t="shared" si="6"/>
        <v>483.3</v>
      </c>
      <c r="L169" s="9">
        <f t="shared" si="7"/>
        <v>0.93662790697674425</v>
      </c>
      <c r="M169">
        <f t="shared" si="8"/>
        <v>0</v>
      </c>
    </row>
    <row r="170" spans="1:13" x14ac:dyDescent="0.35">
      <c r="A170" s="2">
        <v>45826</v>
      </c>
      <c r="B170">
        <v>7645</v>
      </c>
      <c r="C170">
        <v>6550</v>
      </c>
      <c r="D170">
        <v>1095</v>
      </c>
      <c r="E170">
        <v>952</v>
      </c>
      <c r="F170">
        <v>20.5</v>
      </c>
      <c r="G170">
        <v>0</v>
      </c>
      <c r="H170" t="s">
        <v>10</v>
      </c>
      <c r="I170" t="s">
        <v>11</v>
      </c>
      <c r="J170" s="2">
        <v>45826.666666666657</v>
      </c>
      <c r="K170">
        <f t="shared" si="6"/>
        <v>1052.0999999999999</v>
      </c>
      <c r="L170" s="9">
        <f t="shared" si="7"/>
        <v>0.96082191780821913</v>
      </c>
      <c r="M170">
        <f t="shared" si="8"/>
        <v>0</v>
      </c>
    </row>
    <row r="171" spans="1:13" x14ac:dyDescent="0.35">
      <c r="A171" s="2">
        <v>45827</v>
      </c>
      <c r="B171">
        <v>5751</v>
      </c>
      <c r="C171">
        <v>5371</v>
      </c>
      <c r="D171">
        <v>380</v>
      </c>
      <c r="E171">
        <v>525</v>
      </c>
      <c r="F171">
        <v>13.9</v>
      </c>
      <c r="G171">
        <v>0</v>
      </c>
      <c r="H171" t="s">
        <v>12</v>
      </c>
      <c r="I171" t="s">
        <v>11</v>
      </c>
      <c r="J171" s="2">
        <v>45827.375</v>
      </c>
      <c r="K171">
        <f t="shared" si="6"/>
        <v>423.5</v>
      </c>
      <c r="L171" s="9">
        <f t="shared" si="7"/>
        <v>0.88552631578947372</v>
      </c>
      <c r="M171">
        <f t="shared" si="8"/>
        <v>0</v>
      </c>
    </row>
    <row r="172" spans="1:13" x14ac:dyDescent="0.35">
      <c r="A172" s="2">
        <v>45828</v>
      </c>
      <c r="B172">
        <v>4804</v>
      </c>
      <c r="C172">
        <v>5303</v>
      </c>
      <c r="D172">
        <v>-499</v>
      </c>
      <c r="E172">
        <v>-471</v>
      </c>
      <c r="F172">
        <v>17.600000000000001</v>
      </c>
      <c r="G172">
        <v>0</v>
      </c>
      <c r="H172" t="s">
        <v>12</v>
      </c>
      <c r="I172" t="s">
        <v>11</v>
      </c>
      <c r="J172" s="2">
        <v>45828.333333333343</v>
      </c>
      <c r="K172">
        <f t="shared" si="6"/>
        <v>-490.6</v>
      </c>
      <c r="L172" s="9">
        <f t="shared" si="7"/>
        <v>1.0168336673346694</v>
      </c>
      <c r="M172">
        <f t="shared" si="8"/>
        <v>0</v>
      </c>
    </row>
    <row r="173" spans="1:13" x14ac:dyDescent="0.35">
      <c r="A173" s="2">
        <v>45829</v>
      </c>
      <c r="B173">
        <v>6146</v>
      </c>
      <c r="C173">
        <v>5750</v>
      </c>
      <c r="D173">
        <v>396</v>
      </c>
      <c r="E173">
        <v>312</v>
      </c>
      <c r="F173">
        <v>18.100000000000001</v>
      </c>
      <c r="G173">
        <v>0</v>
      </c>
      <c r="H173" t="s">
        <v>10</v>
      </c>
      <c r="I173" t="s">
        <v>11</v>
      </c>
      <c r="J173" s="2">
        <v>45829.708333333343</v>
      </c>
      <c r="K173">
        <f t="shared" si="6"/>
        <v>370.8</v>
      </c>
      <c r="L173" s="9">
        <f t="shared" si="7"/>
        <v>0.9363636363636364</v>
      </c>
      <c r="M173">
        <f t="shared" si="8"/>
        <v>0</v>
      </c>
    </row>
    <row r="174" spans="1:13" x14ac:dyDescent="0.35">
      <c r="A174" s="2">
        <v>45830</v>
      </c>
      <c r="B174">
        <v>6731</v>
      </c>
      <c r="C174">
        <v>5904</v>
      </c>
      <c r="D174">
        <v>827</v>
      </c>
      <c r="E174">
        <v>944</v>
      </c>
      <c r="F174">
        <v>15.3</v>
      </c>
      <c r="G174">
        <v>0</v>
      </c>
      <c r="H174" t="s">
        <v>14</v>
      </c>
      <c r="I174" t="s">
        <v>13</v>
      </c>
      <c r="J174" s="2">
        <v>45830.375</v>
      </c>
      <c r="K174">
        <f t="shared" si="6"/>
        <v>862.1</v>
      </c>
      <c r="L174" s="9">
        <f t="shared" si="7"/>
        <v>0.95755743651753322</v>
      </c>
      <c r="M174">
        <f t="shared" si="8"/>
        <v>0</v>
      </c>
    </row>
    <row r="175" spans="1:13" x14ac:dyDescent="0.35">
      <c r="A175" s="2">
        <v>45831</v>
      </c>
      <c r="B175">
        <v>5895</v>
      </c>
      <c r="C175">
        <v>6142</v>
      </c>
      <c r="D175">
        <v>-247</v>
      </c>
      <c r="E175">
        <v>-169</v>
      </c>
      <c r="F175">
        <v>19.3</v>
      </c>
      <c r="G175">
        <v>0</v>
      </c>
      <c r="H175" t="s">
        <v>14</v>
      </c>
      <c r="I175" t="s">
        <v>11</v>
      </c>
      <c r="J175" s="2">
        <v>45831.583333333343</v>
      </c>
      <c r="K175">
        <f t="shared" si="6"/>
        <v>-223.6</v>
      </c>
      <c r="L175" s="9">
        <f t="shared" si="7"/>
        <v>1.0947368421052632</v>
      </c>
      <c r="M175">
        <f t="shared" si="8"/>
        <v>0</v>
      </c>
    </row>
    <row r="176" spans="1:13" x14ac:dyDescent="0.35">
      <c r="A176" s="2">
        <v>45832</v>
      </c>
      <c r="B176">
        <v>6773</v>
      </c>
      <c r="C176">
        <v>5598</v>
      </c>
      <c r="D176">
        <v>1175</v>
      </c>
      <c r="E176">
        <v>1101</v>
      </c>
      <c r="F176">
        <v>15.6</v>
      </c>
      <c r="G176">
        <v>0</v>
      </c>
      <c r="H176" t="s">
        <v>14</v>
      </c>
      <c r="I176" t="s">
        <v>11</v>
      </c>
      <c r="J176" s="2">
        <v>45832.416666666657</v>
      </c>
      <c r="K176">
        <f t="shared" si="6"/>
        <v>1152.8</v>
      </c>
      <c r="L176" s="9">
        <f t="shared" si="7"/>
        <v>0.98110638297872332</v>
      </c>
      <c r="M176">
        <f t="shared" si="8"/>
        <v>0</v>
      </c>
    </row>
    <row r="177" spans="1:13" x14ac:dyDescent="0.35">
      <c r="A177" s="2">
        <v>45833</v>
      </c>
      <c r="B177">
        <v>5570</v>
      </c>
      <c r="C177">
        <v>5618</v>
      </c>
      <c r="D177">
        <v>-48</v>
      </c>
      <c r="E177">
        <v>144</v>
      </c>
      <c r="F177">
        <v>12.2</v>
      </c>
      <c r="G177">
        <v>0</v>
      </c>
      <c r="H177" t="s">
        <v>10</v>
      </c>
      <c r="I177" t="s">
        <v>11</v>
      </c>
      <c r="J177" s="2">
        <v>45833.708333333343</v>
      </c>
      <c r="K177">
        <f t="shared" si="6"/>
        <v>9.5999999999999943</v>
      </c>
      <c r="L177" s="9">
        <f t="shared" si="7"/>
        <v>2.2000000000000002</v>
      </c>
      <c r="M177">
        <f t="shared" si="8"/>
        <v>0</v>
      </c>
    </row>
    <row r="178" spans="1:13" x14ac:dyDescent="0.35">
      <c r="A178" s="2">
        <v>45834</v>
      </c>
      <c r="B178">
        <v>4960</v>
      </c>
      <c r="C178">
        <v>4400</v>
      </c>
      <c r="D178">
        <v>560</v>
      </c>
      <c r="E178">
        <v>755</v>
      </c>
      <c r="F178">
        <v>14.7</v>
      </c>
      <c r="G178">
        <v>0</v>
      </c>
      <c r="H178" t="s">
        <v>12</v>
      </c>
      <c r="I178" t="s">
        <v>11</v>
      </c>
      <c r="J178" s="2">
        <v>45834.375</v>
      </c>
      <c r="K178">
        <f t="shared" si="6"/>
        <v>618.5</v>
      </c>
      <c r="L178" s="9">
        <f t="shared" si="7"/>
        <v>0.89553571428571432</v>
      </c>
      <c r="M178">
        <f t="shared" si="8"/>
        <v>0</v>
      </c>
    </row>
    <row r="179" spans="1:13" x14ac:dyDescent="0.35">
      <c r="A179" s="2">
        <v>45835</v>
      </c>
      <c r="B179">
        <v>7810</v>
      </c>
      <c r="C179">
        <v>7127</v>
      </c>
      <c r="D179">
        <v>683</v>
      </c>
      <c r="E179">
        <v>611</v>
      </c>
      <c r="F179">
        <v>11.6</v>
      </c>
      <c r="G179">
        <v>0</v>
      </c>
      <c r="H179" t="s">
        <v>14</v>
      </c>
      <c r="I179" t="s">
        <v>11</v>
      </c>
      <c r="J179" s="2">
        <v>45835.583333333343</v>
      </c>
      <c r="K179">
        <f t="shared" si="6"/>
        <v>661.4</v>
      </c>
      <c r="L179" s="9">
        <f t="shared" si="7"/>
        <v>0.9683748169838946</v>
      </c>
      <c r="M179">
        <f t="shared" si="8"/>
        <v>0</v>
      </c>
    </row>
    <row r="180" spans="1:13" x14ac:dyDescent="0.35">
      <c r="A180" s="2">
        <v>45836</v>
      </c>
      <c r="B180">
        <v>6660</v>
      </c>
      <c r="C180">
        <v>6146</v>
      </c>
      <c r="D180">
        <v>514</v>
      </c>
      <c r="E180">
        <v>371</v>
      </c>
      <c r="F180">
        <v>15.5</v>
      </c>
      <c r="G180">
        <v>0</v>
      </c>
      <c r="H180" t="s">
        <v>14</v>
      </c>
      <c r="I180" t="s">
        <v>13</v>
      </c>
      <c r="J180" s="2">
        <v>45836.375</v>
      </c>
      <c r="K180">
        <f t="shared" si="6"/>
        <v>471.1</v>
      </c>
      <c r="L180" s="9">
        <f t="shared" si="7"/>
        <v>0.91653696498054482</v>
      </c>
      <c r="M180">
        <f t="shared" si="8"/>
        <v>0</v>
      </c>
    </row>
    <row r="181" spans="1:13" x14ac:dyDescent="0.35">
      <c r="A181" s="2">
        <v>45837</v>
      </c>
      <c r="B181">
        <v>5485</v>
      </c>
      <c r="C181">
        <v>5977</v>
      </c>
      <c r="D181">
        <v>-492</v>
      </c>
      <c r="E181">
        <v>-571</v>
      </c>
      <c r="F181">
        <v>17.399999999999999</v>
      </c>
      <c r="G181">
        <v>0</v>
      </c>
      <c r="H181" t="s">
        <v>10</v>
      </c>
      <c r="I181" t="s">
        <v>11</v>
      </c>
      <c r="J181" s="2">
        <v>45837.416666666657</v>
      </c>
      <c r="K181">
        <f t="shared" si="6"/>
        <v>-515.70000000000005</v>
      </c>
      <c r="L181" s="9">
        <f t="shared" si="7"/>
        <v>1.0481707317073172</v>
      </c>
      <c r="M181">
        <f t="shared" si="8"/>
        <v>0</v>
      </c>
    </row>
    <row r="182" spans="1:13" x14ac:dyDescent="0.35">
      <c r="A182" s="2">
        <v>45838</v>
      </c>
      <c r="B182">
        <v>6690</v>
      </c>
      <c r="C182">
        <v>5934</v>
      </c>
      <c r="D182">
        <v>756</v>
      </c>
      <c r="E182">
        <v>556</v>
      </c>
      <c r="F182">
        <v>13.4</v>
      </c>
      <c r="G182">
        <v>1</v>
      </c>
      <c r="H182" t="s">
        <v>14</v>
      </c>
      <c r="I182" t="s">
        <v>11</v>
      </c>
      <c r="J182" s="2">
        <v>45838.583333333343</v>
      </c>
      <c r="K182">
        <f t="shared" si="6"/>
        <v>696</v>
      </c>
      <c r="L182" s="9">
        <f t="shared" si="7"/>
        <v>0.92063492063492069</v>
      </c>
      <c r="M182">
        <f t="shared" si="8"/>
        <v>0.01</v>
      </c>
    </row>
    <row r="183" spans="1:13" x14ac:dyDescent="0.35">
      <c r="A183" s="2">
        <v>45839</v>
      </c>
      <c r="B183">
        <v>7840</v>
      </c>
      <c r="C183">
        <v>7218</v>
      </c>
      <c r="D183">
        <v>622</v>
      </c>
      <c r="E183">
        <v>660</v>
      </c>
      <c r="F183">
        <v>13.4</v>
      </c>
      <c r="G183">
        <v>0</v>
      </c>
      <c r="H183" t="s">
        <v>10</v>
      </c>
      <c r="I183" t="s">
        <v>11</v>
      </c>
      <c r="J183" s="2">
        <v>45839.458333333343</v>
      </c>
      <c r="K183">
        <f t="shared" si="6"/>
        <v>633.4</v>
      </c>
      <c r="L183" s="9">
        <f t="shared" si="7"/>
        <v>0.98167202572347267</v>
      </c>
      <c r="M183">
        <f t="shared" si="8"/>
        <v>0</v>
      </c>
    </row>
    <row r="184" spans="1:13" x14ac:dyDescent="0.35">
      <c r="A184" s="2">
        <v>45840</v>
      </c>
      <c r="B184">
        <v>5028</v>
      </c>
      <c r="C184">
        <v>3846</v>
      </c>
      <c r="D184">
        <v>1182</v>
      </c>
      <c r="E184">
        <v>1271</v>
      </c>
      <c r="F184">
        <v>11.3</v>
      </c>
      <c r="G184">
        <v>0</v>
      </c>
      <c r="H184" t="s">
        <v>12</v>
      </c>
      <c r="I184" t="s">
        <v>11</v>
      </c>
      <c r="J184" s="2">
        <v>45840.333333333343</v>
      </c>
      <c r="K184">
        <f t="shared" si="6"/>
        <v>1208.7</v>
      </c>
      <c r="L184" s="9">
        <f t="shared" si="7"/>
        <v>0.9774111675126903</v>
      </c>
      <c r="M184">
        <f t="shared" si="8"/>
        <v>0</v>
      </c>
    </row>
    <row r="185" spans="1:13" x14ac:dyDescent="0.35">
      <c r="A185" s="2">
        <v>45841</v>
      </c>
      <c r="B185">
        <v>7289</v>
      </c>
      <c r="C185">
        <v>6974</v>
      </c>
      <c r="D185">
        <v>315</v>
      </c>
      <c r="E185">
        <v>210</v>
      </c>
      <c r="F185">
        <v>18.2</v>
      </c>
      <c r="G185">
        <v>0</v>
      </c>
      <c r="H185" t="s">
        <v>10</v>
      </c>
      <c r="I185" t="s">
        <v>11</v>
      </c>
      <c r="J185" s="2">
        <v>45841.5</v>
      </c>
      <c r="K185">
        <f t="shared" si="6"/>
        <v>283.5</v>
      </c>
      <c r="L185" s="9">
        <f t="shared" si="7"/>
        <v>0.9</v>
      </c>
      <c r="M185">
        <f t="shared" si="8"/>
        <v>0</v>
      </c>
    </row>
    <row r="186" spans="1:13" x14ac:dyDescent="0.35">
      <c r="A186" s="2">
        <v>45842</v>
      </c>
      <c r="B186">
        <v>4502</v>
      </c>
      <c r="C186">
        <v>4795</v>
      </c>
      <c r="D186">
        <v>-293</v>
      </c>
      <c r="E186">
        <v>-368</v>
      </c>
      <c r="F186">
        <v>14.6</v>
      </c>
      <c r="G186">
        <v>0</v>
      </c>
      <c r="H186" t="s">
        <v>10</v>
      </c>
      <c r="I186" t="s">
        <v>11</v>
      </c>
      <c r="J186" s="2">
        <v>45842.666666666657</v>
      </c>
      <c r="K186">
        <f t="shared" si="6"/>
        <v>-315.5</v>
      </c>
      <c r="L186" s="9">
        <f t="shared" si="7"/>
        <v>1.0767918088737201</v>
      </c>
      <c r="M186">
        <f t="shared" si="8"/>
        <v>0</v>
      </c>
    </row>
    <row r="187" spans="1:13" x14ac:dyDescent="0.35">
      <c r="A187" s="2">
        <v>45843</v>
      </c>
      <c r="B187">
        <v>6814</v>
      </c>
      <c r="C187">
        <v>6160</v>
      </c>
      <c r="D187">
        <v>654</v>
      </c>
      <c r="E187">
        <v>571</v>
      </c>
      <c r="F187">
        <v>14.9</v>
      </c>
      <c r="G187">
        <v>0</v>
      </c>
      <c r="H187" t="s">
        <v>10</v>
      </c>
      <c r="I187" t="s">
        <v>11</v>
      </c>
      <c r="J187" s="2">
        <v>45843.625</v>
      </c>
      <c r="K187">
        <f t="shared" si="6"/>
        <v>629.1</v>
      </c>
      <c r="L187" s="9">
        <f t="shared" si="7"/>
        <v>0.9619266055045872</v>
      </c>
      <c r="M187">
        <f t="shared" si="8"/>
        <v>0</v>
      </c>
    </row>
    <row r="188" spans="1:13" x14ac:dyDescent="0.35">
      <c r="A188" s="2">
        <v>45844</v>
      </c>
      <c r="B188">
        <v>4397</v>
      </c>
      <c r="C188">
        <v>4494</v>
      </c>
      <c r="D188">
        <v>-97</v>
      </c>
      <c r="E188">
        <v>-250</v>
      </c>
      <c r="F188">
        <v>12.5</v>
      </c>
      <c r="G188">
        <v>0</v>
      </c>
      <c r="H188" t="s">
        <v>10</v>
      </c>
      <c r="I188" t="s">
        <v>13</v>
      </c>
      <c r="J188" s="2">
        <v>45844.666666666657</v>
      </c>
      <c r="K188">
        <f t="shared" si="6"/>
        <v>-142.9</v>
      </c>
      <c r="L188" s="9">
        <f t="shared" si="7"/>
        <v>1.4731958762886599</v>
      </c>
      <c r="M188">
        <f t="shared" si="8"/>
        <v>0</v>
      </c>
    </row>
    <row r="189" spans="1:13" x14ac:dyDescent="0.35">
      <c r="A189" s="2">
        <v>45845</v>
      </c>
      <c r="B189">
        <v>4870</v>
      </c>
      <c r="C189">
        <v>5219</v>
      </c>
      <c r="D189">
        <v>-349</v>
      </c>
      <c r="E189">
        <v>-461</v>
      </c>
      <c r="F189">
        <v>16.2</v>
      </c>
      <c r="G189">
        <v>0</v>
      </c>
      <c r="H189" t="s">
        <v>12</v>
      </c>
      <c r="I189" t="s">
        <v>11</v>
      </c>
      <c r="J189" s="2">
        <v>45845.708333333343</v>
      </c>
      <c r="K189">
        <f t="shared" si="6"/>
        <v>-382.6</v>
      </c>
      <c r="L189" s="9">
        <f t="shared" si="7"/>
        <v>1.0962750716332379</v>
      </c>
      <c r="M189">
        <f t="shared" si="8"/>
        <v>0</v>
      </c>
    </row>
    <row r="190" spans="1:13" x14ac:dyDescent="0.35">
      <c r="A190" s="2">
        <v>45846</v>
      </c>
      <c r="B190">
        <v>6842</v>
      </c>
      <c r="C190">
        <v>7289</v>
      </c>
      <c r="D190">
        <v>-447</v>
      </c>
      <c r="E190">
        <v>-411</v>
      </c>
      <c r="F190">
        <v>15.1</v>
      </c>
      <c r="G190">
        <v>0</v>
      </c>
      <c r="H190" t="s">
        <v>12</v>
      </c>
      <c r="I190" t="s">
        <v>11</v>
      </c>
      <c r="J190" s="2">
        <v>45846.666666666657</v>
      </c>
      <c r="K190">
        <f t="shared" si="6"/>
        <v>-436.2</v>
      </c>
      <c r="L190" s="9">
        <f t="shared" si="7"/>
        <v>1.0241610738255034</v>
      </c>
      <c r="M190">
        <f t="shared" si="8"/>
        <v>0</v>
      </c>
    </row>
    <row r="191" spans="1:13" x14ac:dyDescent="0.35">
      <c r="A191" s="2">
        <v>45847</v>
      </c>
      <c r="B191">
        <v>4392</v>
      </c>
      <c r="C191">
        <v>3749</v>
      </c>
      <c r="D191">
        <v>643</v>
      </c>
      <c r="E191">
        <v>815</v>
      </c>
      <c r="F191">
        <v>11.1</v>
      </c>
      <c r="G191">
        <v>0</v>
      </c>
      <c r="H191" t="s">
        <v>14</v>
      </c>
      <c r="I191" t="s">
        <v>11</v>
      </c>
      <c r="J191" s="2">
        <v>45847.583333333343</v>
      </c>
      <c r="K191">
        <f t="shared" si="6"/>
        <v>694.6</v>
      </c>
      <c r="L191" s="9">
        <f t="shared" si="7"/>
        <v>0.91975116640746502</v>
      </c>
      <c r="M191">
        <f t="shared" si="8"/>
        <v>0</v>
      </c>
    </row>
    <row r="192" spans="1:13" x14ac:dyDescent="0.35">
      <c r="A192" s="2">
        <v>45848</v>
      </c>
      <c r="B192">
        <v>4206</v>
      </c>
      <c r="C192">
        <v>3010</v>
      </c>
      <c r="D192">
        <v>1196</v>
      </c>
      <c r="E192">
        <v>1380</v>
      </c>
      <c r="F192">
        <v>16</v>
      </c>
      <c r="G192">
        <v>0</v>
      </c>
      <c r="H192" t="s">
        <v>12</v>
      </c>
      <c r="I192" t="s">
        <v>11</v>
      </c>
      <c r="J192" s="2">
        <v>45848.458333333343</v>
      </c>
      <c r="K192">
        <f t="shared" si="6"/>
        <v>1251.2</v>
      </c>
      <c r="L192" s="9">
        <f t="shared" si="7"/>
        <v>0.95384615384615379</v>
      </c>
      <c r="M192">
        <f t="shared" si="8"/>
        <v>0</v>
      </c>
    </row>
    <row r="193" spans="1:13" x14ac:dyDescent="0.35">
      <c r="A193" s="2">
        <v>45849</v>
      </c>
      <c r="B193">
        <v>5038</v>
      </c>
      <c r="C193">
        <v>3595</v>
      </c>
      <c r="D193">
        <v>1443</v>
      </c>
      <c r="E193">
        <v>1514</v>
      </c>
      <c r="F193">
        <v>12.7</v>
      </c>
      <c r="G193">
        <v>0</v>
      </c>
      <c r="H193" t="s">
        <v>12</v>
      </c>
      <c r="I193" t="s">
        <v>11</v>
      </c>
      <c r="J193" s="2">
        <v>45849.5</v>
      </c>
      <c r="K193">
        <f t="shared" si="6"/>
        <v>1464.3</v>
      </c>
      <c r="L193" s="9">
        <f t="shared" si="7"/>
        <v>0.98523908523908532</v>
      </c>
      <c r="M193">
        <f t="shared" si="8"/>
        <v>0</v>
      </c>
    </row>
    <row r="194" spans="1:13" x14ac:dyDescent="0.35">
      <c r="A194" s="2">
        <v>45850</v>
      </c>
      <c r="B194">
        <v>5881</v>
      </c>
      <c r="C194">
        <v>5754</v>
      </c>
      <c r="D194">
        <v>127</v>
      </c>
      <c r="E194">
        <v>115</v>
      </c>
      <c r="F194">
        <v>10.6</v>
      </c>
      <c r="G194">
        <v>1</v>
      </c>
      <c r="H194" t="s">
        <v>14</v>
      </c>
      <c r="I194" t="s">
        <v>11</v>
      </c>
      <c r="J194" s="2">
        <v>45850.333333333343</v>
      </c>
      <c r="K194">
        <f t="shared" si="6"/>
        <v>123.4</v>
      </c>
      <c r="L194" s="9">
        <f t="shared" si="7"/>
        <v>0.97165354330708664</v>
      </c>
      <c r="M194">
        <f t="shared" si="8"/>
        <v>0.01</v>
      </c>
    </row>
    <row r="195" spans="1:13" x14ac:dyDescent="0.35">
      <c r="A195" s="2">
        <v>45851</v>
      </c>
      <c r="B195">
        <v>7625</v>
      </c>
      <c r="C195">
        <v>7539</v>
      </c>
      <c r="D195">
        <v>86</v>
      </c>
      <c r="E195">
        <v>77</v>
      </c>
      <c r="F195">
        <v>14.6</v>
      </c>
      <c r="G195">
        <v>0</v>
      </c>
      <c r="H195" t="s">
        <v>12</v>
      </c>
      <c r="I195" t="s">
        <v>11</v>
      </c>
      <c r="J195" s="2">
        <v>45851.333333333343</v>
      </c>
      <c r="K195">
        <f t="shared" ref="K195:K201" si="9">D195+(E195-D195)*0.3</f>
        <v>83.3</v>
      </c>
      <c r="L195" s="9">
        <f t="shared" ref="L195:L201" si="10">IF(D195&lt;&gt;0,(1-ABS(D195-K195)/D195),"")</f>
        <v>0.96860465116279071</v>
      </c>
      <c r="M195">
        <f t="shared" ref="M195:M201" si="11">G195/100</f>
        <v>0</v>
      </c>
    </row>
    <row r="196" spans="1:13" x14ac:dyDescent="0.35">
      <c r="A196" s="2">
        <v>45852</v>
      </c>
      <c r="B196">
        <v>6939</v>
      </c>
      <c r="C196">
        <v>5791</v>
      </c>
      <c r="D196">
        <v>1148</v>
      </c>
      <c r="E196">
        <v>1016</v>
      </c>
      <c r="F196">
        <v>16.7</v>
      </c>
      <c r="G196">
        <v>0</v>
      </c>
      <c r="H196" t="s">
        <v>10</v>
      </c>
      <c r="I196" t="s">
        <v>11</v>
      </c>
      <c r="J196" s="2">
        <v>45852.416666666657</v>
      </c>
      <c r="K196">
        <f t="shared" si="9"/>
        <v>1108.4000000000001</v>
      </c>
      <c r="L196" s="9">
        <f t="shared" si="10"/>
        <v>0.96550522648083636</v>
      </c>
      <c r="M196">
        <f t="shared" si="11"/>
        <v>0</v>
      </c>
    </row>
    <row r="197" spans="1:13" x14ac:dyDescent="0.35">
      <c r="A197" s="2">
        <v>45853</v>
      </c>
      <c r="B197">
        <v>5484</v>
      </c>
      <c r="C197">
        <v>3993</v>
      </c>
      <c r="D197">
        <v>1491</v>
      </c>
      <c r="E197">
        <v>1568</v>
      </c>
      <c r="F197">
        <v>14.2</v>
      </c>
      <c r="G197">
        <v>0</v>
      </c>
      <c r="H197" t="s">
        <v>10</v>
      </c>
      <c r="I197" t="s">
        <v>11</v>
      </c>
      <c r="J197" s="2">
        <v>45853.625</v>
      </c>
      <c r="K197">
        <f t="shared" si="9"/>
        <v>1514.1</v>
      </c>
      <c r="L197" s="9">
        <f t="shared" si="10"/>
        <v>0.98450704225352115</v>
      </c>
      <c r="M197">
        <f t="shared" si="11"/>
        <v>0</v>
      </c>
    </row>
    <row r="198" spans="1:13" x14ac:dyDescent="0.35">
      <c r="A198" s="2">
        <v>45854</v>
      </c>
      <c r="B198">
        <v>7762</v>
      </c>
      <c r="C198">
        <v>6819</v>
      </c>
      <c r="D198">
        <v>943</v>
      </c>
      <c r="E198">
        <v>1091</v>
      </c>
      <c r="F198">
        <v>16.3</v>
      </c>
      <c r="G198">
        <v>0</v>
      </c>
      <c r="H198" t="s">
        <v>14</v>
      </c>
      <c r="I198" t="s">
        <v>11</v>
      </c>
      <c r="J198" s="2">
        <v>45854.375</v>
      </c>
      <c r="K198">
        <f t="shared" si="9"/>
        <v>987.4</v>
      </c>
      <c r="L198" s="9">
        <f t="shared" si="10"/>
        <v>0.95291622481442206</v>
      </c>
      <c r="M198">
        <f t="shared" si="11"/>
        <v>0</v>
      </c>
    </row>
    <row r="199" spans="1:13" x14ac:dyDescent="0.35">
      <c r="A199" s="2">
        <v>45855</v>
      </c>
      <c r="B199">
        <v>7646</v>
      </c>
      <c r="C199">
        <v>6701</v>
      </c>
      <c r="D199">
        <v>945</v>
      </c>
      <c r="E199">
        <v>991</v>
      </c>
      <c r="F199">
        <v>13.5</v>
      </c>
      <c r="G199">
        <v>0</v>
      </c>
      <c r="H199" t="s">
        <v>14</v>
      </c>
      <c r="I199" t="s">
        <v>11</v>
      </c>
      <c r="J199" s="2">
        <v>45855.458333333343</v>
      </c>
      <c r="K199">
        <f t="shared" si="9"/>
        <v>958.8</v>
      </c>
      <c r="L199" s="9">
        <f t="shared" si="10"/>
        <v>0.98539682539682549</v>
      </c>
      <c r="M199">
        <f t="shared" si="11"/>
        <v>0</v>
      </c>
    </row>
    <row r="200" spans="1:13" x14ac:dyDescent="0.35">
      <c r="A200" s="2">
        <v>45856</v>
      </c>
      <c r="B200">
        <v>4863</v>
      </c>
      <c r="C200">
        <v>5260</v>
      </c>
      <c r="D200">
        <v>-397</v>
      </c>
      <c r="E200">
        <v>-522</v>
      </c>
      <c r="F200">
        <v>11.3</v>
      </c>
      <c r="G200">
        <v>0</v>
      </c>
      <c r="H200" t="s">
        <v>14</v>
      </c>
      <c r="I200" t="s">
        <v>13</v>
      </c>
      <c r="J200" s="2">
        <v>45856.375</v>
      </c>
      <c r="K200">
        <f t="shared" si="9"/>
        <v>-434.5</v>
      </c>
      <c r="L200" s="9">
        <f t="shared" si="10"/>
        <v>1.0944584382871536</v>
      </c>
      <c r="M200">
        <f t="shared" si="11"/>
        <v>0</v>
      </c>
    </row>
    <row r="201" spans="1:13" x14ac:dyDescent="0.35">
      <c r="A201" s="2">
        <v>45857</v>
      </c>
      <c r="B201">
        <v>6790</v>
      </c>
      <c r="C201">
        <v>5415</v>
      </c>
      <c r="D201">
        <v>1375</v>
      </c>
      <c r="E201">
        <v>1328</v>
      </c>
      <c r="F201">
        <v>19</v>
      </c>
      <c r="G201">
        <v>0</v>
      </c>
      <c r="H201" t="s">
        <v>10</v>
      </c>
      <c r="I201" t="s">
        <v>11</v>
      </c>
      <c r="J201" s="2">
        <v>45857.5</v>
      </c>
      <c r="K201">
        <f t="shared" si="9"/>
        <v>1360.9</v>
      </c>
      <c r="L201" s="9">
        <f t="shared" si="10"/>
        <v>0.98974545454545459</v>
      </c>
      <c r="M201">
        <f t="shared" si="11"/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7"/>
  <sheetViews>
    <sheetView workbookViewId="0">
      <selection activeCell="E10" sqref="E10"/>
    </sheetView>
  </sheetViews>
  <sheetFormatPr defaultRowHeight="14.5" x14ac:dyDescent="0.35"/>
  <cols>
    <col min="1" max="1" width="34.90625" bestFit="1" customWidth="1"/>
    <col min="2" max="2" width="17.08984375" bestFit="1" customWidth="1"/>
    <col min="3" max="3" width="15.7265625" bestFit="1" customWidth="1"/>
    <col min="4" max="4" width="15.54296875" bestFit="1" customWidth="1"/>
    <col min="5" max="5" width="34.90625" bestFit="1" customWidth="1"/>
    <col min="6" max="6" width="17.08984375" bestFit="1" customWidth="1"/>
    <col min="7" max="7" width="15.7265625" bestFit="1" customWidth="1"/>
    <col min="8" max="8" width="15.54296875" bestFit="1" customWidth="1"/>
  </cols>
  <sheetData>
    <row r="1" spans="1:8" x14ac:dyDescent="0.35">
      <c r="A1" s="1" t="s">
        <v>15</v>
      </c>
      <c r="B1" s="1" t="s">
        <v>16</v>
      </c>
      <c r="C1" s="1" t="s">
        <v>17</v>
      </c>
      <c r="D1" s="1" t="s">
        <v>18</v>
      </c>
      <c r="E1" s="1"/>
      <c r="F1" s="1"/>
      <c r="G1" s="1"/>
      <c r="H1" s="1"/>
    </row>
    <row r="2" spans="1:8" x14ac:dyDescent="0.35">
      <c r="A2" t="s">
        <v>19</v>
      </c>
      <c r="B2">
        <f>AVERAGE(Data_base_Before!F2:F201)</f>
        <v>21.86</v>
      </c>
      <c r="C2">
        <f>AVERAGE(Data_base_After!F2:F201)</f>
        <v>14.332999999999993</v>
      </c>
      <c r="D2" s="6">
        <f>(B2-C2)/B2</f>
        <v>0.34432753888380635</v>
      </c>
    </row>
    <row r="3" spans="1:8" x14ac:dyDescent="0.35">
      <c r="A3" t="s">
        <v>24</v>
      </c>
      <c r="B3" s="6">
        <f>AVERAGE(Data_base_Before!I2:I201)</f>
        <v>2.0549999999999971E-2</v>
      </c>
      <c r="C3" s="6">
        <f>AVERAGE(Data_base_After!M2:M201)</f>
        <v>3.0000000000000003E-4</v>
      </c>
      <c r="D3" s="6">
        <f>(B3-C3)/B3</f>
        <v>0.98540145985401451</v>
      </c>
    </row>
    <row r="4" spans="1:8" x14ac:dyDescent="0.35">
      <c r="A4" t="s">
        <v>20</v>
      </c>
      <c r="D4" s="6">
        <f>(D2+D3)/2</f>
        <v>0.66486449936891046</v>
      </c>
    </row>
    <row r="5" spans="1:8" x14ac:dyDescent="0.35">
      <c r="A5" t="s">
        <v>25</v>
      </c>
      <c r="B5" s="4">
        <f>AVERAGE(Data_base_Before!H2:H201)</f>
        <v>0.63813587585472997</v>
      </c>
      <c r="C5" s="6">
        <f>0.88</f>
        <v>0.88</v>
      </c>
    </row>
    <row r="6" spans="1:8" x14ac:dyDescent="0.35">
      <c r="A6" t="s">
        <v>26</v>
      </c>
      <c r="C6">
        <v>1</v>
      </c>
    </row>
    <row r="7" spans="1:8" x14ac:dyDescent="0.35">
      <c r="A7" t="s">
        <v>27</v>
      </c>
      <c r="B7">
        <v>0.89900000000000002</v>
      </c>
      <c r="C7">
        <v>0.89900000000000002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CD63D-16A5-4295-B74B-194BC8C69A24}">
  <dimension ref="A1"/>
  <sheetViews>
    <sheetView tabSelected="1" topLeftCell="C1" zoomScale="65" zoomScaleNormal="123" workbookViewId="0">
      <selection activeCell="X17" sqref="X17"/>
    </sheetView>
  </sheetViews>
  <sheetFormatPr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Data_base_Before</vt:lpstr>
      <vt:lpstr>Data_base_After</vt:lpstr>
      <vt:lpstr>Summary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yash bokade</cp:lastModifiedBy>
  <dcterms:created xsi:type="dcterms:W3CDTF">2025-10-20T03:28:17Z</dcterms:created>
  <dcterms:modified xsi:type="dcterms:W3CDTF">2025-10-23T12:07:28Z</dcterms:modified>
</cp:coreProperties>
</file>